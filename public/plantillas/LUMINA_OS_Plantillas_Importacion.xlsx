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dab667b18e4a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uarios_Roles" sheetId="1" r:id="R2bd67aa8965a4ec5"/>
    <x:sheet xmlns:r="http://schemas.openxmlformats.org/officeDocument/2006/relationships" name="Unidades" sheetId="2" r:id="Rc42a7b77c796438a"/>
    <x:sheet xmlns:r="http://schemas.openxmlformats.org/officeDocument/2006/relationships" name="Categorias" sheetId="3" r:id="Rccde3bc1eb5c4810"/>
    <x:sheet xmlns:r="http://schemas.openxmlformats.org/officeDocument/2006/relationships" name="Productos" sheetId="4" r:id="Rb49bfdce5f644749"/>
    <x:sheet xmlns:r="http://schemas.openxmlformats.org/officeDocument/2006/relationships" name="Materiales" sheetId="5" r:id="R1c821637ecc743f6"/>
    <x:sheet xmlns:r="http://schemas.openxmlformats.org/officeDocument/2006/relationships" name="Proveedores" sheetId="6" r:id="Rb3a9e533e009405a"/>
    <x:sheet xmlns:r="http://schemas.openxmlformats.org/officeDocument/2006/relationships" name="Clientes" sheetId="7" r:id="R47a4b9222e8546fb"/>
    <x:sheet xmlns:r="http://schemas.openxmlformats.org/officeDocument/2006/relationships" name="BOM" sheetId="8" r:id="Rd6ede97aabef49cb"/>
    <x:sheet xmlns:r="http://schemas.openxmlformats.org/officeDocument/2006/relationships" name="Inventario_Inicial" sheetId="9" r:id="R822456073d154802"/>
    <x:sheet xmlns:r="http://schemas.openxmlformats.org/officeDocument/2006/relationships" name="Cuentas_Saldos" sheetId="10" r:id="R3e3ed29a0e7f4b68"/>
    <x:sheet xmlns:r="http://schemas.openxmlformats.org/officeDocument/2006/relationships" name="Gastos_Costos" sheetId="11" r:id="Rfc267ce969444f68"/>
    <x:sheet xmlns:r="http://schemas.openxmlformats.org/officeDocument/2006/relationships" name="Instrucciones" sheetId="12" r:id="R5d94d2eb63e443eb"/>
    <x:sheet xmlns:r="http://schemas.openxmlformats.org/officeDocument/2006/relationships" name="Checks" sheetId="13" r:id="R99b3104f06a344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FFFFF"/>
      <x:name val="Carlito"/>
    </x:font>
    <x:font>
      <x:i/>
      <x:sz val="11"/>
      <x:color rgb="FF6F665E"/>
      <x:name val="Carlito"/>
    </x:font>
    <x:font>
      <x:b/>
      <x:sz val="11"/>
      <x:color rgb="FFFFFFFF"/>
      <x:name val="Carlito"/>
    </x:font>
    <x:font>
      <x:sz val="11"/>
      <x:color rgb="FF2F2A25"/>
      <x:name val="Carlito"/>
    </x:font>
    <x:font>
      <x:b/>
      <x:sz val="20"/>
      <x:color rgb="FFFFFFFF"/>
      <x:name val="Carlito"/>
    </x:font>
    <x:font>
      <x:b/>
      <x:sz val="11"/>
      <x:color rgb="FF2F2A25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B3C"/>
      </x:patternFill>
    </x:fill>
    <x:fill>
      <x:patternFill patternType="solid">
        <x:fgColor rgb="FFF5F1EB"/>
      </x:patternFill>
    </x:fill>
    <x:fill>
      <x:patternFill patternType="solid">
        <x:fgColor rgb="FFB9916C"/>
      </x:patternFill>
    </x:fill>
    <x:fill>
      <x:patternFill patternType="solid">
        <x:fgColor rgb="FFFFFDF9"/>
      </x:patternFill>
    </x:fill>
    <x:fill>
      <x:patternFill patternType="solid">
        <x:fgColor rgb="FFEEE6DA"/>
      </x:patternFill>
    </x:fill>
  </x:fills>
  <x:borders count="13">
    <x:border/>
    <x:border>
      <x:right style="thin">
        <x:color rgb="FFDED6CC"/>
      </x:right>
      <x:bottom style="thin">
        <x:color rgb="FFDED6CC"/>
      </x:bottom>
    </x:border>
    <x:border>
      <x:left style="thin">
        <x:color rgb="FFDED6CC"/>
      </x:left>
      <x:right style="thin">
        <x:color rgb="FFDED6CC"/>
      </x:right>
      <x:bottom style="thin">
        <x:color rgb="FFDED6CC"/>
      </x:bottom>
    </x:border>
    <x:border>
      <x:left style="thin">
        <x:color rgb="FFDED6CC"/>
      </x:left>
      <x:bottom style="thin">
        <x:color rgb="FFDED6CC"/>
      </x:bottom>
    </x:border>
    <x:border>
      <x:right style="thin">
        <x:color rgb="FFDED6CC"/>
      </x:right>
      <x:top style="thin">
        <x:color rgb="FFDED6CC"/>
      </x:top>
      <x:bottom style="thin">
        <x:color rgb="FFDED6CC"/>
      </x:bottom>
    </x:border>
    <x:border>
      <x:left style="thin">
        <x:color rgb="FFDED6CC"/>
      </x:left>
      <x:right style="thin">
        <x:color rgb="FFDED6CC"/>
      </x:right>
      <x:top style="thin">
        <x:color rgb="FFDED6CC"/>
      </x:top>
      <x:bottom style="thin">
        <x:color rgb="FFDED6CC"/>
      </x:bottom>
    </x:border>
    <x:border>
      <x:left style="thin">
        <x:color rgb="FFDED6CC"/>
      </x:left>
      <x:top style="thin">
        <x:color rgb="FFDED6CC"/>
      </x:top>
      <x:bottom style="thin">
        <x:color rgb="FFDED6CC"/>
      </x:bottom>
    </x:border>
    <x:border>
      <x:right style="thin">
        <x:color rgb="FFDED6CC"/>
      </x:right>
      <x:top style="thin">
        <x:color rgb="FFDED6CC"/>
      </x:top>
    </x:border>
    <x:border>
      <x:left style="thin">
        <x:color rgb="FFDED6CC"/>
      </x:left>
      <x:right style="thin">
        <x:color rgb="FFDED6CC"/>
      </x:right>
      <x:top style="thin">
        <x:color rgb="FFDED6CC"/>
      </x:top>
    </x:border>
    <x:border>
      <x:left style="thin">
        <x:color rgb="FFDED6CC"/>
      </x:left>
      <x:top style="thin">
        <x:color rgb="FFDED6CC"/>
      </x:top>
    </x:border>
    <x:border>
      <x:right style="thin">
        <x:color rgb="FFDED6CC"/>
      </x:right>
    </x:border>
    <x:border>
      <x:left style="thin">
        <x:color rgb="FFDED6CC"/>
      </x:left>
      <x:right style="thin">
        <x:color rgb="FFDED6CC"/>
      </x:right>
    </x:border>
    <x:border>
      <x:left style="thin">
        <x:color rgb="FFDED6CC"/>
      </x:left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3" fillId="2" borderId="0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</x:cellXfs>
  <x:cellStyles count="1">
    <x:cellStyle name="Normal" xfId="0"/>
  </x:cellStyles>
  <x:dxfs count="9">
    <x:dxf>
      <x:font>
        <x:b/>
        <x:color rgb="FF8A3E21"/>
      </x:font>
      <x:fill>
        <x:patternFill patternType="solid">
          <x:bgColor rgb="FFF4D9CC"/>
        </x:patternFill>
      </x:fill>
    </x:dxf>
    <x:dxf>
      <x:font>
        <x:b/>
        <x:color rgb="FF8A3E21"/>
      </x:font>
      <x:fill>
        <x:patternFill patternType="solid">
          <x:bgColor rgb="FFF4D9CC"/>
        </x:patternFill>
      </x:fill>
    </x:dxf>
    <x:dxf>
      <x:font>
        <x:b/>
        <x:color rgb="FF8A3E21"/>
      </x:font>
      <x:fill>
        <x:patternFill patternType="solid">
          <x:bgColor rgb="FFF4D9CC"/>
        </x:patternFill>
      </x:fill>
    </x:dxf>
    <x:dxf>
      <x:font>
        <x:b/>
        <x:color rgb="FF8A3E21"/>
      </x:font>
      <x:fill>
        <x:patternFill patternType="solid">
          <x:bgColor rgb="FFF4D9CC"/>
        </x:patternFill>
      </x:fill>
    </x:dxf>
    <x:dxf>
      <x:font>
        <x:b/>
        <x:color rgb="FF8A3E21"/>
      </x:font>
      <x:fill>
        <x:patternFill patternType="solid">
          <x:bgColor rgb="FFF4D9CC"/>
        </x:patternFill>
      </x:fill>
    </x:dxf>
    <x:dxf>
      <x:font>
        <x:b/>
        <x:color rgb="FF8A3E21"/>
      </x:font>
      <x:fill>
        <x:patternFill patternType="solid">
          <x:bgColor rgb="FFF4D9CC"/>
        </x:patternFill>
      </x:fill>
    </x:dxf>
    <x:dxf>
      <x:font>
        <x:b/>
        <x:color rgb="FF8A3E21"/>
      </x:font>
      <x:fill>
        <x:patternFill patternType="solid">
          <x:bgColor rgb="FFF4D9CC"/>
        </x:patternFill>
      </x:fill>
    </x:dxf>
    <x:dxf>
      <x:font>
        <x:b/>
        <x:color rgb="FF8A3E21"/>
      </x:font>
      <x:fill>
        <x:patternFill patternType="solid">
          <x:bgColor rgb="FFF4D9CC"/>
        </x:patternFill>
      </x:fill>
    </x:dxf>
    <x:dxf>
      <x:font>
        <x:b/>
        <x:color rgb="FF8A3E21"/>
      </x:font>
      <x:fill>
        <x:patternFill patternType="solid">
          <x:bgColor rgb="FFF4D9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8162f166204278" /><Relationship Type="http://schemas.openxmlformats.org/officeDocument/2006/relationships/theme" Target="/xl/theme/theme1.xml" Id="R33577f35e06d40dd" /><Relationship Type="http://schemas.openxmlformats.org/officeDocument/2006/relationships/sharedStrings" Target="/xl/sharedStrings.xml" Id="R36cb6137ce37441f" /><Relationship Type="http://schemas.openxmlformats.org/officeDocument/2006/relationships/worksheet" Target="/xl/worksheets/sheet1.xml" Id="R2bd67aa8965a4ec5" /><Relationship Type="http://schemas.openxmlformats.org/officeDocument/2006/relationships/worksheet" Target="/xl/worksheets/sheet2.xml" Id="Rc42a7b77c796438a" /><Relationship Type="http://schemas.openxmlformats.org/officeDocument/2006/relationships/worksheet" Target="/xl/worksheets/sheet3.xml" Id="Rccde3bc1eb5c4810" /><Relationship Type="http://schemas.openxmlformats.org/officeDocument/2006/relationships/worksheet" Target="/xl/worksheets/sheet4.xml" Id="Rb49bfdce5f644749" /><Relationship Type="http://schemas.openxmlformats.org/officeDocument/2006/relationships/worksheet" Target="/xl/worksheets/sheet5.xml" Id="R1c821637ecc743f6" /><Relationship Type="http://schemas.openxmlformats.org/officeDocument/2006/relationships/worksheet" Target="/xl/worksheets/sheet6.xml" Id="Rb3a9e533e009405a" /><Relationship Type="http://schemas.openxmlformats.org/officeDocument/2006/relationships/worksheet" Target="/xl/worksheets/sheet7.xml" Id="R47a4b9222e8546fb" /><Relationship Type="http://schemas.openxmlformats.org/officeDocument/2006/relationships/worksheet" Target="/xl/worksheets/sheet8.xml" Id="Rd6ede97aabef49cb" /><Relationship Type="http://schemas.openxmlformats.org/officeDocument/2006/relationships/worksheet" Target="/xl/worksheets/sheet9.xml" Id="R822456073d154802" /><Relationship Type="http://schemas.openxmlformats.org/officeDocument/2006/relationships/worksheet" Target="/xl/worksheets/sheet10.xml" Id="R3e3ed29a0e7f4b68" /><Relationship Type="http://schemas.openxmlformats.org/officeDocument/2006/relationships/worksheet" Target="/xl/worksheets/sheet11.xml" Id="Rfc267ce969444f68" /><Relationship Type="http://schemas.openxmlformats.org/officeDocument/2006/relationships/worksheet" Target="/xl/worksheets/sheet12.xml" Id="R5d94d2eb63e443eb" /><Relationship Type="http://schemas.openxmlformats.org/officeDocument/2006/relationships/worksheet" Target="/xl/worksheets/sheet13.xml" Id="R99b3104f06a344bf" /></Relationships>
</file>

<file path=xl/tables/table1.xml><?xml version="1.0" encoding="utf-8"?>
<x:table xmlns:x="http://schemas.openxmlformats.org/spreadsheetml/2006/main" id="1" name="UsuariosRolesTable" displayName="UsuariosRolesTable" ref="A4:D5" headerRowCount="1" totalsRowCount="0" totalsRowShown="0">
  <x:tableColumns count="4">
    <x:tableColumn id="1" name="email"/>
    <x:tableColumn id="2" name="nombre"/>
    <x:tableColumn id="3" name="rol"/>
    <x:tableColumn id="4" name="activ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nidadesTable" displayName="UnidadesTable" ref="A4:E5" headerRowCount="1" totalsRowCount="0" totalsRowShown="0">
  <x:tableColumns count="5">
    <x:tableColumn id="1" name="codigo"/>
    <x:tableColumn id="2" name="nombre"/>
    <x:tableColumn id="3" name="dimension"/>
    <x:tableColumn id="4" name="factor_a_base"/>
    <x:tableColumn id="5" name="activ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tegoriasTable" displayName="CategoriasTable" ref="A4:D5" headerRowCount="1" totalsRowCount="0" totalsRowShown="0">
  <x:tableColumns count="4">
    <x:tableColumn id="1" name="codigo"/>
    <x:tableColumn id="2" name="nombre"/>
    <x:tableColumn id="3" name="categoria_padre_codigo"/>
    <x:tableColumn id="4" name="activ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ductosTable" displayName="ProductosTable" ref="A4:H5" headerRowCount="1" totalsRowCount="0" totalsRowShown="0">
  <x:tableColumns count="8">
    <x:tableColumn id="1" name="sku_producto"/>
    <x:tableColumn id="2" name="nombre_producto"/>
    <x:tableColumn id="3" name="categoria_codigo"/>
    <x:tableColumn id="4" name="sku_variante"/>
    <x:tableColumn id="5" name="nombre_variante"/>
    <x:tableColumn id="6" name="precio_venta_cop"/>
    <x:tableColumn id="7" name="activo"/>
    <x:tableColumn id="8" name="estado_dat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aterialesTable" displayName="MaterialesTable" ref="A4:G5" headerRowCount="1" totalsRowCount="0" totalsRowShown="0">
  <x:tableColumns count="7">
    <x:tableColumn id="1" name="sku"/>
    <x:tableColumn id="2" name="nombre"/>
    <x:tableColumn id="3" name="tipo"/>
    <x:tableColumn id="4" name="unidad_base"/>
    <x:tableColumn id="5" name="stock_minimo"/>
    <x:tableColumn id="6" name="activo"/>
    <x:tableColumn id="7" name="estado_dato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roveedoresTable" displayName="ProveedoresTable" ref="A4:G5" headerRowCount="1" totalsRowCount="0" totalsRowShown="0">
  <x:tableColumns count="7">
    <x:tableColumn id="1" name="codigo"/>
    <x:tableColumn id="2" name="nombre"/>
    <x:tableColumn id="3" name="nit"/>
    <x:tableColumn id="4" name="email"/>
    <x:tableColumn id="5" name="telefono"/>
    <x:tableColumn id="6" name="activo"/>
    <x:tableColumn id="7" name="estado_dato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lientesTable" displayName="ClientesTable" ref="A4:H5" headerRowCount="1" totalsRowCount="0" totalsRowShown="0">
  <x:tableColumns count="8">
    <x:tableColumn id="1" name="codigo"/>
    <x:tableColumn id="2" name="tipo"/>
    <x:tableColumn id="3" name="nombre"/>
    <x:tableColumn id="4" name="documento"/>
    <x:tableColumn id="5" name="email"/>
    <x:tableColumn id="6" name="telefono"/>
    <x:tableColumn id="7" name="activo"/>
    <x:tableColumn id="8" name="estado_dato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BOMTable" displayName="BOMTable" ref="A4:I5" headerRowCount="1" totalsRowCount="0" totalsRowShown="0">
  <x:tableColumns count="9">
    <x:tableColumn id="1" name="sku_variante"/>
    <x:tableColumn id="2" name="version"/>
    <x:tableColumn id="3" name="rendimiento"/>
    <x:tableColumn id="4" name="unidad_rendimiento"/>
    <x:tableColumn id="5" name="sku_material"/>
    <x:tableColumn id="6" name="cantidad"/>
    <x:tableColumn id="7" name="unidad"/>
    <x:tableColumn id="8" name="merma_pct"/>
    <x:tableColumn id="9" name="estado_dato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InventarioInicialTable" displayName="InventarioInicialTable" ref="A4:I5" headerRowCount="1" totalsRowCount="0" totalsRowShown="0">
  <x:tableColumns count="9">
    <x:tableColumn id="1" name="fecha_corte"/>
    <x:tableColumn id="2" name="tipo_item"/>
    <x:tableColumn id="3" name="sku"/>
    <x:tableColumn id="4" name="lote"/>
    <x:tableColumn id="5" name="cantidad"/>
    <x:tableColumn id="6" name="unidad"/>
    <x:tableColumn id="7" name="costo_unitario_cop"/>
    <x:tableColumn id="8" name="motivo"/>
    <x:tableColumn id="9" name="estado_dato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uentasSaldosTable" displayName="CuentasSaldosTable" ref="A4:G5" headerRowCount="1" totalsRowCount="0" totalsRowShown="0">
  <x:tableColumns count="7">
    <x:tableColumn id="1" name="codigo"/>
    <x:tableColumn id="2" name="nombre"/>
    <x:tableColumn id="3" name="tipo"/>
    <x:tableColumn id="4" name="fecha_corte"/>
    <x:tableColumn id="5" name="saldo_cop"/>
    <x:tableColumn id="6" name="activo"/>
    <x:tableColumn id="7" name="estado_dato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GastosCostosTable" displayName="GastosCostosTable" ref="A4:H5" headerRowCount="1" totalsRowCount="0" totalsRowShown="0">
  <x:tableColumns count="8">
    <x:tableColumn id="1" name="codigo"/>
    <x:tableColumn id="2" name="nombre"/>
    <x:tableColumn id="3" name="tipo"/>
    <x:tableColumn id="4" name="frecuencia"/>
    <x:tableColumn id="5" name="importe_cop"/>
    <x:tableColumn id="6" name="criterio_asignacion"/>
    <x:tableColumn id="7" name="activo"/>
    <x:tableColumn id="8" name="estado_dat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89423cb4532434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78662dace9a4aa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b29db0405d243d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d90578a8d18449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881b1fe97b142e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8140169a78a417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bd37aff46f4f4a6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d2a81abfc60e489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b10abdfececa436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80ccc1ddbb204e2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05f7f535ce2544b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</x:cols>
  <x:sheetData>
    <x:row r="1" ht="34" customHeight="1">
      <x:c r="A1" s="3" t="str">
        <x:v>Usuarios y roles</x:v>
      </x:c>
    </x:row>
    <x:row r="2" ht="32" customHeight="1">
      <x:c r="A2" s="7" t="str">
        <x:v>Una fila por usuario y rol. Repita el correo si una persona tiene varios roles.</x:v>
      </x:c>
    </x:row>
    <x:row r="4" ht="26" customHeight="1">
      <x:c r="A4" s="11" t="str">
        <x:v>email</x:v>
      </x:c>
      <x:c r="B4" s="11" t="str">
        <x:v>nombre</x:v>
      </x:c>
      <x:c r="C4" s="11" t="str">
        <x:v>rol</x:v>
      </x:c>
      <x:c r="D4" s="11" t="str">
        <x:v>activo</x:v>
      </x:c>
    </x:row>
    <x:row r="5" ht="24" customHeight="1">
      <x:c r="A5" s="14" t="str">
        <x:v>persona@lumina.co</x:v>
      </x:c>
      <x:c r="B5" s="14" t="str">
        <x:v>NOMBRE REAL</x:v>
      </x:c>
      <x:c r="C5" s="14" t="str">
        <x:v>ADMIN</x:v>
      </x:c>
      <x:c r="D5" s="14" t="str">
        <x:v>SI</x:v>
      </x:c>
    </x:row>
  </x:sheetData>
  <x:mergeCells>
    <x:mergeCell ref="A1:D1"/>
    <x:mergeCell ref="A2:D2"/>
  </x:mergeCells>
  <x:dataValidations count="2">
    <x:dataValidation type="list" sqref="C5:C205">
      <x:formula1>"ADMIN,PRODUCTION,SALES,INVENTORY,FINANCE,PLANNING"</x:formula1>
    </x:dataValidation>
    <x:dataValidation type="list" sqref="D5:D205">
      <x:formula1>"SI,NO"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89423cb4532434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7" hidden="0" customWidth="1"/>
    <x:col min="5" max="5" width="14" hidden="0" customWidth="1"/>
  </x:cols>
  <x:sheetData>
    <x:row r="1" ht="34" customHeight="1">
      <x:c r="A1" s="3" t="str">
        <x:v>Unidades de medida</x:v>
      </x:c>
    </x:row>
    <x:row r="2" ht="32" customHeight="1">
      <x:c r="A2" s="7" t="str">
        <x:v>factor_a_base convierte a la unidad base de su dimensión.</x:v>
      </x:c>
    </x:row>
    <x:row r="4" ht="26" customHeight="1">
      <x:c r="A4" s="11" t="str">
        <x:v>codigo</x:v>
      </x:c>
      <x:c r="B4" s="11" t="str">
        <x:v>nombre</x:v>
      </x:c>
      <x:c r="C4" s="11" t="str">
        <x:v>dimension</x:v>
      </x:c>
      <x:c r="D4" s="11" t="str">
        <x:v>factor_a_base</x:v>
      </x:c>
      <x:c r="E4" s="11" t="str">
        <x:v>activo</x:v>
      </x:c>
    </x:row>
    <x:row r="5" ht="24" customHeight="1">
      <x:c r="A5" s="14" t="str">
        <x:v>G</x:v>
      </x:c>
      <x:c r="B5" s="14" t="str">
        <x:v>Gramo</x:v>
      </x:c>
      <x:c r="C5" s="14" t="str">
        <x:v>MASS</x:v>
      </x:c>
      <x:c r="D5" s="14" t="n">
        <x:v>1</x:v>
      </x:c>
      <x:c r="E5" s="14" t="str">
        <x:v>SI</x:v>
      </x:c>
    </x:row>
  </x:sheetData>
  <x:mergeCells>
    <x:mergeCell ref="A1:E1"/>
    <x:mergeCell ref="A2:E2"/>
  </x:mergeCells>
  <x:dataValidations count="2">
    <x:dataValidation type="list" sqref="C5:C205">
      <x:formula1>"MASS,VOLUME,UNIT,LENGTH"</x:formula1>
    </x:dataValidation>
    <x:dataValidation type="list" sqref="E5:E205">
      <x:formula1>"SI,NO"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78662dace9a4aa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6" hidden="0" customWidth="1"/>
    <x:col min="4" max="4" width="14" hidden="0" customWidth="1"/>
  </x:cols>
  <x:sheetData>
    <x:row r="1" ht="34" customHeight="1">
      <x:c r="A1" s="3" t="str">
        <x:v>Categorías de producto</x:v>
      </x:c>
    </x:row>
    <x:row r="2" ht="32" customHeight="1">
      <x:c r="A2" s="7" t="str">
        <x:v>categoria_padre_codigo es opcional.</x:v>
      </x:c>
    </x:row>
    <x:row r="4" ht="26" customHeight="1">
      <x:c r="A4" s="11" t="str">
        <x:v>codigo</x:v>
      </x:c>
      <x:c r="B4" s="11" t="str">
        <x:v>nombre</x:v>
      </x:c>
      <x:c r="C4" s="11" t="str">
        <x:v>categoria_padre_codigo</x:v>
      </x:c>
      <x:c r="D4" s="11" t="str">
        <x:v>activo</x:v>
      </x:c>
    </x:row>
    <x:row r="5" ht="24" customHeight="1">
      <x:c r="A5" s="14" t="str">
        <x:v>VELAS</x:v>
      </x:c>
      <x:c r="B5" s="14" t="str">
        <x:v>Velas</x:v>
      </x:c>
      <x:c r="C5" s="14" t="str"/>
      <x:c r="D5" s="14" t="str">
        <x:v>SI</x:v>
      </x:c>
    </x:row>
  </x:sheetData>
  <x:mergeCells>
    <x:mergeCell ref="A1:D1"/>
    <x:mergeCell ref="A2:D2"/>
  </x:mergeCells>
  <x:dataValidations count="1">
    <x:dataValidation type="list" sqref="D5:D205">
      <x:formula1>"SI,NO"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b29db0405d243d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9" hidden="0" customWidth="1"/>
    <x:col min="3" max="3" width="20" hidden="0" customWidth="1"/>
    <x:col min="4" max="4" width="16" hidden="0" customWidth="1"/>
    <x:col min="5" max="5" width="19" hidden="0" customWidth="1"/>
    <x:col min="6" max="6" width="20" hidden="0" customWidth="1"/>
    <x:col min="7" max="7" width="14" hidden="0" customWidth="1"/>
    <x:col min="8" max="8" width="15" hidden="0" customWidth="1"/>
  </x:cols>
  <x:sheetData>
    <x:row r="1" ht="34" customHeight="1">
      <x:c r="A1" s="3" t="str">
        <x:v>Productos y variantes</x:v>
      </x:c>
    </x:row>
    <x:row r="2" ht="32" customHeight="1">
      <x:c r="A2" s="7" t="str">
        <x:v>Una fila por variante vendible. Los valores de ejemplo deben confirmarse o reemplazarse.</x:v>
      </x:c>
    </x:row>
    <x:row r="4" ht="26" customHeight="1">
      <x:c r="A4" s="11" t="str">
        <x:v>sku_producto</x:v>
      </x:c>
      <x:c r="B4" s="11" t="str">
        <x:v>nombre_producto</x:v>
      </x:c>
      <x:c r="C4" s="11" t="str">
        <x:v>categoria_codigo</x:v>
      </x:c>
      <x:c r="D4" s="11" t="str">
        <x:v>sku_variante</x:v>
      </x:c>
      <x:c r="E4" s="11" t="str">
        <x:v>nombre_variante</x:v>
      </x:c>
      <x:c r="F4" s="11" t="str">
        <x:v>precio_venta_cop</x:v>
      </x:c>
      <x:c r="G4" s="11" t="str">
        <x:v>activo</x:v>
      </x:c>
      <x:c r="H4" s="11" t="str">
        <x:v>estado_dato</x:v>
      </x:c>
    </x:row>
    <x:row r="5" ht="24" customHeight="1">
      <x:c r="A5" s="14" t="str">
        <x:v>VELA-STD</x:v>
      </x:c>
      <x:c r="B5" s="14" t="str">
        <x:v>Vela Estándar</x:v>
      </x:c>
      <x:c r="C5" s="14" t="str">
        <x:v>VELAS</x:v>
      </x:c>
      <x:c r="D5" s="14" t="str">
        <x:v>VELA-STD-200</x:v>
      </x:c>
      <x:c r="E5" s="14" t="str">
        <x:v>200 g</x:v>
      </x:c>
      <x:c r="F5" s="14" t="str"/>
      <x:c r="G5" s="14" t="str">
        <x:v>SI</x:v>
      </x:c>
      <x:c r="H5" s="14" t="str">
        <x:v>PENDIENTE</x:v>
      </x:c>
    </x:row>
  </x:sheetData>
  <x:mergeCells>
    <x:mergeCell ref="A1:H1"/>
    <x:mergeCell ref="A2:H2"/>
  </x:mergeCells>
  <x:conditionalFormatting sqref="H5:H205">
    <x:cfRule type="containsText" dxfId="0" priority="1" operator="containsText" text="PENDIENTE"/>
  </x:conditionalFormatting>
  <x:dataValidations count="2">
    <x:dataValidation type="list" sqref="G5:G205">
      <x:formula1>"SI,NO"</x:formula1>
    </x:dataValidation>
    <x:dataValidation type="list" sqref="H5:H205">
      <x:formula1>"COMPLETO,PENDIENTE"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d90578a8d18449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5" hidden="0" customWidth="1"/>
    <x:col min="5" max="5" width="16" hidden="0" customWidth="1"/>
    <x:col min="6" max="6" width="14" hidden="0" customWidth="1"/>
    <x:col min="7" max="7" width="15" hidden="0" customWidth="1"/>
  </x:cols>
  <x:sheetData>
    <x:row r="1" ht="34" customHeight="1">
      <x:c r="A1" s="3" t="str">
        <x:v>Materias primas e insumos</x:v>
      </x:c>
    </x:row>
    <x:row r="2" ht="32" customHeight="1">
      <x:c r="A2" s="7" t="str">
        <x:v>El costo y el stock se cargan posteriormente en Inventario_Inicial.</x:v>
      </x:c>
    </x:row>
    <x:row r="4" ht="26" customHeight="1">
      <x:c r="A4" s="11" t="str">
        <x:v>sku</x:v>
      </x:c>
      <x:c r="B4" s="11" t="str">
        <x:v>nombre</x:v>
      </x:c>
      <x:c r="C4" s="11" t="str">
        <x:v>tipo</x:v>
      </x:c>
      <x:c r="D4" s="11" t="str">
        <x:v>unidad_base</x:v>
      </x:c>
      <x:c r="E4" s="11" t="str">
        <x:v>stock_minimo</x:v>
      </x:c>
      <x:c r="F4" s="11" t="str">
        <x:v>activo</x:v>
      </x:c>
      <x:c r="G4" s="11" t="str">
        <x:v>estado_dato</x:v>
      </x:c>
    </x:row>
    <x:row r="5" ht="24" customHeight="1">
      <x:c r="A5" s="14" t="str">
        <x:v>CERA-SOYA</x:v>
      </x:c>
      <x:c r="B5" s="14" t="str">
        <x:v>Cera de soya</x:v>
      </x:c>
      <x:c r="C5" s="14" t="str">
        <x:v>RAW</x:v>
      </x:c>
      <x:c r="D5" s="14" t="str">
        <x:v>G</x:v>
      </x:c>
      <x:c r="E5" s="14" t="str"/>
      <x:c r="F5" s="14" t="str">
        <x:v>SI</x:v>
      </x:c>
      <x:c r="G5" s="14" t="str">
        <x:v>PENDIENTE</x:v>
      </x:c>
    </x:row>
  </x:sheetData>
  <x:mergeCells>
    <x:mergeCell ref="A1:G1"/>
    <x:mergeCell ref="A2:G2"/>
  </x:mergeCells>
  <x:conditionalFormatting sqref="G5:G205">
    <x:cfRule type="containsText" dxfId="1" priority="1" operator="containsText" text="PENDIENTE"/>
  </x:conditionalFormatting>
  <x:dataValidations count="3">
    <x:dataValidation type="list" sqref="C5:C205">
      <x:formula1>"RAW,PACKAGING,SUPPLY"</x:formula1>
    </x:dataValidation>
    <x:dataValidation type="list" sqref="F5:F205">
      <x:formula1>"SI,NO"</x:formula1>
    </x:dataValidation>
    <x:dataValidation type="list" sqref="G5:G205">
      <x:formula1>"COMPLETO,PENDIENTE"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881b1fe97b142e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5" hidden="0" customWidth="1"/>
  </x:cols>
  <x:sheetData>
    <x:row r="1" ht="34" customHeight="1">
      <x:c r="A1" s="3" t="str">
        <x:v>Proveedores</x:v>
      </x:c>
    </x:row>
    <x:row r="2" ht="32" customHeight="1">
      <x:c r="A2" s="7" t="str">
        <x:v>NIT y datos de contacto pueden quedar pendientes.</x:v>
      </x:c>
    </x:row>
    <x:row r="4" ht="26" customHeight="1">
      <x:c r="A4" s="11" t="str">
        <x:v>codigo</x:v>
      </x:c>
      <x:c r="B4" s="11" t="str">
        <x:v>nombre</x:v>
      </x:c>
      <x:c r="C4" s="11" t="str">
        <x:v>nit</x:v>
      </x:c>
      <x:c r="D4" s="11" t="str">
        <x:v>email</x:v>
      </x:c>
      <x:c r="E4" s="11" t="str">
        <x:v>telefono</x:v>
      </x:c>
      <x:c r="F4" s="11" t="str">
        <x:v>activo</x:v>
      </x:c>
      <x:c r="G4" s="11" t="str">
        <x:v>estado_dato</x:v>
      </x:c>
    </x:row>
    <x:row r="5" ht="24" customHeight="1">
      <x:c r="A5" s="14" t="str">
        <x:v>PROV-001</x:v>
      </x:c>
      <x:c r="B5" s="14" t="str">
        <x:v>NOMBRE REAL</x:v>
      </x:c>
      <x:c r="C5" s="14" t="str"/>
      <x:c r="D5" s="14" t="str"/>
      <x:c r="E5" s="14" t="str"/>
      <x:c r="F5" s="14" t="str">
        <x:v>SI</x:v>
      </x:c>
      <x:c r="G5" s="14" t="str">
        <x:v>PENDIENTE</x:v>
      </x:c>
    </x:row>
  </x:sheetData>
  <x:mergeCells>
    <x:mergeCell ref="A1:G1"/>
    <x:mergeCell ref="A2:G2"/>
  </x:mergeCells>
  <x:conditionalFormatting sqref="G5:G205">
    <x:cfRule type="containsText" dxfId="2" priority="1" operator="containsText" text="PENDIENTE"/>
  </x:conditionalFormatting>
  <x:dataValidations count="2">
    <x:dataValidation type="list" sqref="F5:F205">
      <x:formula1>"SI,NO"</x:formula1>
    </x:dataValidation>
    <x:dataValidation type="list" sqref="G5:G205">
      <x:formula1>"COMPLETO,PENDIENTE"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8140169a78a417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5" hidden="0" customWidth="1"/>
  </x:cols>
  <x:sheetData>
    <x:row r="1" ht="34" customHeight="1">
      <x:c r="A1" s="3" t="str">
        <x:v>Clientes</x:v>
      </x:c>
    </x:row>
    <x:row r="2" ht="32" customHeight="1">
      <x:c r="A2" s="7" t="str">
        <x:v>tipo distingue personas y empresas.</x:v>
      </x:c>
    </x:row>
    <x:row r="4" ht="26" customHeight="1">
      <x:c r="A4" s="11" t="str">
        <x:v>codigo</x:v>
      </x:c>
      <x:c r="B4" s="11" t="str">
        <x:v>tipo</x:v>
      </x:c>
      <x:c r="C4" s="11" t="str">
        <x:v>nombre</x:v>
      </x:c>
      <x:c r="D4" s="11" t="str">
        <x:v>documento</x:v>
      </x:c>
      <x:c r="E4" s="11" t="str">
        <x:v>email</x:v>
      </x:c>
      <x:c r="F4" s="11" t="str">
        <x:v>telefono</x:v>
      </x:c>
      <x:c r="G4" s="11" t="str">
        <x:v>activo</x:v>
      </x:c>
      <x:c r="H4" s="11" t="str">
        <x:v>estado_dato</x:v>
      </x:c>
    </x:row>
    <x:row r="5" ht="24" customHeight="1">
      <x:c r="A5" s="14" t="str">
        <x:v>CLI-001</x:v>
      </x:c>
      <x:c r="B5" s="14" t="str">
        <x:v>PERSON</x:v>
      </x:c>
      <x:c r="C5" s="14" t="str">
        <x:v>NOMBRE REAL</x:v>
      </x:c>
      <x:c r="D5" s="14" t="str"/>
      <x:c r="E5" s="14" t="str"/>
      <x:c r="F5" s="14" t="str"/>
      <x:c r="G5" s="14" t="str">
        <x:v>SI</x:v>
      </x:c>
      <x:c r="H5" s="14" t="str">
        <x:v>PENDIENTE</x:v>
      </x:c>
    </x:row>
  </x:sheetData>
  <x:mergeCells>
    <x:mergeCell ref="A1:H1"/>
    <x:mergeCell ref="A2:H2"/>
  </x:mergeCells>
  <x:conditionalFormatting sqref="H5:H205">
    <x:cfRule type="containsText" dxfId="3" priority="1" operator="containsText" text="PENDIENTE"/>
  </x:conditionalFormatting>
  <x:dataValidations count="3">
    <x:dataValidation type="list" sqref="B5:B205">
      <x:formula1>"PERSON,COMPANY"</x:formula1>
    </x:dataValidation>
    <x:dataValidation type="list" sqref="G5:G205">
      <x:formula1>"SI,NO"</x:formula1>
    </x:dataValidation>
    <x:dataValidation type="list" sqref="H5:H205">
      <x:formula1>"COMPLETO,PENDIENTE"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d37aff46f4f4a6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5" hidden="0" customWidth="1"/>
    <x:col min="4" max="4" width="22" hidden="0" customWidth="1"/>
    <x:col min="5" max="5" width="16" hidden="0" customWidth="1"/>
    <x:col min="6" max="6" width="14" hidden="0" customWidth="1"/>
    <x:col min="7" max="7" width="14" hidden="0" customWidth="1"/>
    <x:col min="8" max="8" width="14" hidden="0" customWidth="1"/>
    <x:col min="9" max="9" width="15" hidden="0" customWidth="1"/>
  </x:cols>
  <x:sheetData>
    <x:row r="1" ht="34" customHeight="1">
      <x:c r="A1" s="3" t="str">
        <x:v>Ficha técnica / BOM</x:v>
      </x:c>
    </x:row>
    <x:row r="2" ht="32" customHeight="1">
      <x:c r="A2" s="7" t="str">
        <x:v>Una fila por componente. El ejemplo de la Vela Estándar 200g proviene de gestion.md.</x:v>
      </x:c>
    </x:row>
    <x:row r="4" ht="26" customHeight="1">
      <x:c r="A4" s="11" t="str">
        <x:v>sku_variante</x:v>
      </x:c>
      <x:c r="B4" s="11" t="str">
        <x:v>version</x:v>
      </x:c>
      <x:c r="C4" s="11" t="str">
        <x:v>rendimiento</x:v>
      </x:c>
      <x:c r="D4" s="11" t="str">
        <x:v>unidad_rendimiento</x:v>
      </x:c>
      <x:c r="E4" s="11" t="str">
        <x:v>sku_material</x:v>
      </x:c>
      <x:c r="F4" s="11" t="str">
        <x:v>cantidad</x:v>
      </x:c>
      <x:c r="G4" s="11" t="str">
        <x:v>unidad</x:v>
      </x:c>
      <x:c r="H4" s="11" t="str">
        <x:v>merma_pct</x:v>
      </x:c>
      <x:c r="I4" s="11" t="str">
        <x:v>estado_dato</x:v>
      </x:c>
    </x:row>
    <x:row r="5" ht="24" customHeight="1">
      <x:c r="A5" s="14" t="str">
        <x:v>VELA-STD-200</x:v>
      </x:c>
      <x:c r="B5" s="14" t="n">
        <x:v>1</x:v>
      </x:c>
      <x:c r="C5" s="14" t="n">
        <x:v>1</x:v>
      </x:c>
      <x:c r="D5" s="14" t="str">
        <x:v>UND</x:v>
      </x:c>
      <x:c r="E5" s="14" t="str">
        <x:v>CERA-SOYA</x:v>
      </x:c>
      <x:c r="F5" s="14" t="n">
        <x:v>180</x:v>
      </x:c>
      <x:c r="G5" s="14" t="str">
        <x:v>G</x:v>
      </x:c>
      <x:c r="H5" s="14" t="n">
        <x:v>0</x:v>
      </x:c>
      <x:c r="I5" s="14" t="str">
        <x:v>PENDIENTE</x:v>
      </x:c>
    </x:row>
  </x:sheetData>
  <x:mergeCells>
    <x:mergeCell ref="A1:I1"/>
    <x:mergeCell ref="A2:I2"/>
  </x:mergeCells>
  <x:conditionalFormatting sqref="I5:I205">
    <x:cfRule type="containsText" dxfId="4" priority="1" operator="containsText" text="PENDIENTE"/>
  </x:conditionalFormatting>
  <x:dataValidations count="1">
    <x:dataValidation type="list" sqref="I5:I205">
      <x:formula1>"COMPLETO,PENDIENTE"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2a81abfc60e489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22" hidden="0" customWidth="1"/>
    <x:col min="8" max="8" width="14" hidden="0" customWidth="1"/>
    <x:col min="9" max="9" width="15" hidden="0" customWidth="1"/>
  </x:cols>
  <x:sheetData>
    <x:row r="1" ht="34" customHeight="1">
      <x:c r="A1" s="3" t="str">
        <x:v>Conteo físico inicial</x:v>
      </x:c>
    </x:row>
    <x:row r="2" ht="32" customHeight="1">
      <x:c r="A2" s="7" t="str">
        <x:v>Registrar el conteo real y costo unitario a la fecha de corte. No incluir movimientos históricos.</x:v>
      </x:c>
    </x:row>
    <x:row r="4" ht="26" customHeight="1">
      <x:c r="A4" s="11" t="str">
        <x:v>fecha_corte</x:v>
      </x:c>
      <x:c r="B4" s="11" t="str">
        <x:v>tipo_item</x:v>
      </x:c>
      <x:c r="C4" s="11" t="str">
        <x:v>sku</x:v>
      </x:c>
      <x:c r="D4" s="11" t="str">
        <x:v>lote</x:v>
      </x:c>
      <x:c r="E4" s="11" t="str">
        <x:v>cantidad</x:v>
      </x:c>
      <x:c r="F4" s="11" t="str">
        <x:v>unidad</x:v>
      </x:c>
      <x:c r="G4" s="11" t="str">
        <x:v>costo_unitario_cop</x:v>
      </x:c>
      <x:c r="H4" s="11" t="str">
        <x:v>motivo</x:v>
      </x:c>
      <x:c r="I4" s="11" t="str">
        <x:v>estado_dato</x:v>
      </x:c>
    </x:row>
    <x:row r="5" ht="24" customHeight="1">
      <x:c r="A5" s="14" t="str"/>
      <x:c r="B5" s="14" t="str">
        <x:v>MATERIAL</x:v>
      </x:c>
      <x:c r="C5" s="14" t="str">
        <x:v>CERA-SOYA</x:v>
      </x:c>
      <x:c r="D5" s="14" t="str">
        <x:v>APERTURA-001</x:v>
      </x:c>
      <x:c r="E5" s="14" t="str"/>
      <x:c r="F5" s="14" t="str">
        <x:v>G</x:v>
      </x:c>
      <x:c r="G5" s="14" t="str"/>
      <x:c r="H5" s="14" t="str">
        <x:v>CONTEO INICIAL</x:v>
      </x:c>
      <x:c r="I5" s="14" t="str">
        <x:v>PENDIENTE</x:v>
      </x:c>
    </x:row>
  </x:sheetData>
  <x:mergeCells>
    <x:mergeCell ref="A1:I1"/>
    <x:mergeCell ref="A2:I2"/>
  </x:mergeCells>
  <x:conditionalFormatting sqref="I5:I205">
    <x:cfRule type="containsText" dxfId="5" priority="1" operator="containsText" text="PENDIENTE"/>
  </x:conditionalFormatting>
  <x:dataValidations count="2">
    <x:dataValidation type="list" sqref="B5:B205">
      <x:formula1>"MATERIAL,PRODUCT"</x:formula1>
    </x:dataValidation>
    <x:dataValidation type="list" sqref="I5:I205">
      <x:formula1>"COMPLETO,PENDIENTE"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10abdfececa436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5" hidden="0" customWidth="1"/>
    <x:col min="5" max="5" width="14" hidden="0" customWidth="1"/>
    <x:col min="6" max="6" width="14" hidden="0" customWidth="1"/>
    <x:col min="7" max="7" width="15" hidden="0" customWidth="1"/>
  </x:cols>
  <x:sheetData>
    <x:row r="1" ht="34" customHeight="1">
      <x:c r="A1" s="3" t="str">
        <x:v>Cuentas y saldos de apertura</x:v>
      </x:c>
    </x:row>
    <x:row r="2" ht="32" customHeight="1">
      <x:c r="A2" s="7" t="str">
        <x:v>Una fila por caja, banco u otra cuenta financiera interna.</x:v>
      </x:c>
    </x:row>
    <x:row r="4" ht="26" customHeight="1">
      <x:c r="A4" s="11" t="str">
        <x:v>codigo</x:v>
      </x:c>
      <x:c r="B4" s="11" t="str">
        <x:v>nombre</x:v>
      </x:c>
      <x:c r="C4" s="11" t="str">
        <x:v>tipo</x:v>
      </x:c>
      <x:c r="D4" s="11" t="str">
        <x:v>fecha_corte</x:v>
      </x:c>
      <x:c r="E4" s="11" t="str">
        <x:v>saldo_cop</x:v>
      </x:c>
      <x:c r="F4" s="11" t="str">
        <x:v>activo</x:v>
      </x:c>
      <x:c r="G4" s="11" t="str">
        <x:v>estado_dato</x:v>
      </x:c>
    </x:row>
    <x:row r="5" ht="24" customHeight="1">
      <x:c r="A5" s="14" t="str">
        <x:v>CAJA-PRINCIPAL</x:v>
      </x:c>
      <x:c r="B5" s="14" t="str">
        <x:v>Caja principal</x:v>
      </x:c>
      <x:c r="C5" s="14" t="str">
        <x:v>CASH</x:v>
      </x:c>
      <x:c r="D5" s="14" t="str"/>
      <x:c r="E5" s="14" t="str"/>
      <x:c r="F5" s="14" t="str">
        <x:v>SI</x:v>
      </x:c>
      <x:c r="G5" s="14" t="str">
        <x:v>PENDIENTE</x:v>
      </x:c>
    </x:row>
  </x:sheetData>
  <x:mergeCells>
    <x:mergeCell ref="A1:G1"/>
    <x:mergeCell ref="A2:G2"/>
  </x:mergeCells>
  <x:conditionalFormatting sqref="G5:G205">
    <x:cfRule type="containsText" dxfId="6" priority="1" operator="containsText" text="PENDIENTE"/>
  </x:conditionalFormatting>
  <x:dataValidations count="3">
    <x:dataValidation type="list" sqref="C5:C205">
      <x:formula1>"CASH,BANK,OTHER"</x:formula1>
    </x:dataValidation>
    <x:dataValidation type="list" sqref="F5:F205">
      <x:formula1>"SI,NO"</x:formula1>
    </x:dataValidation>
    <x:dataValidation type="list" sqref="G5:G205">
      <x:formula1>"COMPLETO,PENDIENTE"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0ccc1ddbb204e2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5" hidden="0" customWidth="1"/>
    <x:col min="6" max="6" width="23" hidden="0" customWidth="1"/>
    <x:col min="7" max="7" width="14" hidden="0" customWidth="1"/>
    <x:col min="8" max="8" width="15" hidden="0" customWidth="1"/>
  </x:cols>
  <x:sheetData>
    <x:row r="1" ht="34" customHeight="1">
      <x:c r="A1" s="3" t="str">
        <x:v>Gastos fijos y costos indirectos</x:v>
      </x:c>
    </x:row>
    <x:row r="2" ht="32" customHeight="1">
      <x:c r="A2" s="7" t="str">
        <x:v>Frecuencia y criterio de asignación deben ser confirmados por Finanzas.</x:v>
      </x:c>
    </x:row>
    <x:row r="4" ht="26" customHeight="1">
      <x:c r="A4" s="11" t="str">
        <x:v>codigo</x:v>
      </x:c>
      <x:c r="B4" s="11" t="str">
        <x:v>nombre</x:v>
      </x:c>
      <x:c r="C4" s="11" t="str">
        <x:v>tipo</x:v>
      </x:c>
      <x:c r="D4" s="11" t="str">
        <x:v>frecuencia</x:v>
      </x:c>
      <x:c r="E4" s="11" t="str">
        <x:v>importe_cop</x:v>
      </x:c>
      <x:c r="F4" s="11" t="str">
        <x:v>criterio_asignacion</x:v>
      </x:c>
      <x:c r="G4" s="11" t="str">
        <x:v>activo</x:v>
      </x:c>
      <x:c r="H4" s="11" t="str">
        <x:v>estado_dato</x:v>
      </x:c>
    </x:row>
    <x:row r="5" ht="24" customHeight="1">
      <x:c r="A5" s="14" t="str">
        <x:v>COSTO-001</x:v>
      </x:c>
      <x:c r="B5" s="14" t="str">
        <x:v>NOMBRE REAL</x:v>
      </x:c>
      <x:c r="C5" s="14" t="str">
        <x:v>INDIRECT_COST</x:v>
      </x:c>
      <x:c r="D5" s="14" t="str">
        <x:v>MONTHLY</x:v>
      </x:c>
      <x:c r="E5" s="14" t="str"/>
      <x:c r="F5" s="14" t="str">
        <x:v>PENDIENTE</x:v>
      </x:c>
      <x:c r="G5" s="14" t="str">
        <x:v>SI</x:v>
      </x:c>
      <x:c r="H5" s="14" t="str">
        <x:v>PENDIENTE</x:v>
      </x:c>
    </x:row>
  </x:sheetData>
  <x:mergeCells>
    <x:mergeCell ref="A1:H1"/>
    <x:mergeCell ref="A2:H2"/>
  </x:mergeCells>
  <x:conditionalFormatting sqref="H5:H205">
    <x:cfRule type="containsText" dxfId="7" priority="1" operator="containsText" text="PENDIENTE"/>
  </x:conditionalFormatting>
  <x:dataValidations count="4">
    <x:dataValidation type="list" sqref="C5:C205">
      <x:formula1>"FIXED_EXPENSE,INDIRECT_COST,LABOR"</x:formula1>
    </x:dataValidation>
    <x:dataValidation type="list" sqref="D5:D205">
      <x:formula1>"MONTHLY,WEEKLY,PER_BATCH"</x:formula1>
    </x:dataValidation>
    <x:dataValidation type="list" sqref="G5:G205">
      <x:formula1>"SI,NO"</x:formula1>
    </x:dataValidation>
    <x:dataValidation type="list" sqref="H5:H205">
      <x:formula1>"COMPLETO,PENDIENTE"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5f7f535ce2544b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56" hidden="0" customWidth="1"/>
  </x:cols>
  <x:sheetData>
    <x:row r="1" ht="38" customHeight="1">
      <x:c r="A1" s="16" t="str">
        <x:v>LÚMINA OS · Carga inicial</x:v>
      </x:c>
    </x:row>
    <x:row r="3" ht="30" customHeight="1">
      <x:c r="A3" s="19" t="str">
        <x:v>Complete únicamente datos reales. No cambie los encabezados ni elimine columnas.</x:v>
      </x:c>
    </x:row>
    <x:row r="5">
      <x:c r="A5" s="20" t="str">
        <x:v>Paso</x:v>
      </x:c>
      <x:c r="B5" s="21" t="str">
        <x:v>Responsable</x:v>
      </x:c>
      <x:c r="C5" s="22" t="str">
        <x:v>Acción</x:v>
      </x:c>
    </x:row>
    <x:row r="6">
      <x:c r="A6" s="23" t="n">
        <x:v>1</x:v>
      </x:c>
      <x:c r="B6" s="24" t="str">
        <x:v>Administrador</x:v>
      </x:c>
      <x:c r="C6" s="25" t="str">
        <x:v>Completar Usuarios_Roles, Unidades y Categorias.</x:v>
      </x:c>
    </x:row>
    <x:row r="7">
      <x:c r="A7" s="23" t="n">
        <x:v>2</x:v>
      </x:c>
      <x:c r="B7" s="24" t="str">
        <x:v>Producción</x:v>
      </x:c>
      <x:c r="C7" s="25" t="str">
        <x:v>Completar Productos, Materiales y BOM.</x:v>
      </x:c>
    </x:row>
    <x:row r="8">
      <x:c r="A8" s="23" t="n">
        <x:v>3</x:v>
      </x:c>
      <x:c r="B8" s="24" t="str">
        <x:v>Inventario</x:v>
      </x:c>
      <x:c r="C8" s="25" t="str">
        <x:v>Realizar conteo físico y completar Inventario_Inicial.</x:v>
      </x:c>
    </x:row>
    <x:row r="9">
      <x:c r="A9" s="23" t="n">
        <x:v>4</x:v>
      </x:c>
      <x:c r="B9" s="24" t="str">
        <x:v>Finanzas</x:v>
      </x:c>
      <x:c r="C9" s="25" t="str">
        <x:v>Completar Cuentas_Saldos y Gastos_Costos.</x:v>
      </x:c>
    </x:row>
    <x:row r="10">
      <x:c r="A10" s="26" t="n">
        <x:v>5</x:v>
      </x:c>
      <x:c r="B10" s="27" t="str">
        <x:v>Administrador</x:v>
      </x:c>
      <x:c r="C10" s="28" t="str">
        <x:v>Revisar estado_dato y entregar el libro para importación.</x:v>
      </x:c>
    </x:row>
    <x:row r="12">
      <x:c r="A12" s="29" t="str">
        <x:v>Convención</x:v>
      </x:c>
      <x:c r="B12" s="29" t="str">
        <x:v>Significado</x:v>
      </x:c>
    </x:row>
    <x:row r="13">
      <x:c r="A13" t="str">
        <x:v>COMPLETO</x:v>
      </x:c>
      <x:c r="B13" t="str">
        <x:v>Fila lista para importar.</x:v>
      </x:c>
    </x:row>
    <x:row r="14">
      <x:c r="A14" t="str">
        <x:v>PENDIENTE</x:v>
      </x:c>
      <x:c r="B14" t="str">
        <x:v>Falta validar uno o más campos.</x:v>
      </x:c>
    </x:row>
    <x:row r="15">
      <x:c r="A15" t="str">
        <x:v>SI / NO</x:v>
      </x:c>
      <x:c r="B15" t="str">
        <x:v>Campo booleano.</x:v>
      </x:c>
    </x:row>
    <x:row r="16">
      <x:c r="A16" t="str">
        <x:v>Fechas</x:v>
      </x:c>
      <x:c r="B16" t="str">
        <x:v>Usar formato AAAA-MM-DD.</x:v>
      </x:c>
    </x:row>
  </x:sheetData>
  <x:mergeCells>
    <x:mergeCell ref="A1:F1"/>
    <x:mergeCell ref="A3:F3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" hidden="0" customWidth="1"/>
    <x:col min="3" max="3" width="12.880000114440918" hidden="0" customWidth="1"/>
    <x:col min="4" max="4" width="6.880000114440918" hidden="0" customWidth="1"/>
  </x:cols>
  <x:sheetData>
    <x:row r="1" ht="34" customHeight="1">
      <x:c r="A1" s="2" t="str">
        <x:v>Control de completitud</x:v>
      </x:c>
    </x:row>
    <x:row r="3">
      <x:c r="A3" s="9" t="str">
        <x:v>Hoja</x:v>
      </x:c>
      <x:c r="B3" s="9" t="str">
        <x:v>Filas cargadas</x:v>
      </x:c>
      <x:c r="C3" s="9" t="str">
        <x:v>Filas pendientes</x:v>
      </x:c>
      <x:c r="D3" s="9" t="str">
        <x:v>Estado</x:v>
      </x:c>
    </x:row>
    <x:row r="4">
      <x:c r="A4" s="30" t="str">
        <x:v>Usuarios_Roles</x:v>
      </x:c>
      <x:c r="B4" s="31" t="n">
        <x:f>MAX(0,COUNTA('Usuarios_Roles'!A5:A205)-1)</x:f>
        <x:v>0</x:v>
      </x:c>
      <x:c r="C4" s="31" t="n">
        <x:f>0</x:f>
        <x:v>0</x:v>
      </x:c>
      <x:c r="D4" s="32" t="str">
        <x:f>IF(C4=0,"LISTO","REVISAR")</x:f>
        <x:v>LISTO</x:v>
      </x:c>
    </x:row>
    <x:row r="5">
      <x:c r="A5" s="30" t="str">
        <x:v>Unidades</x:v>
      </x:c>
      <x:c r="B5" s="31" t="n">
        <x:f>MAX(0,COUNTA('Unidades'!A5:A205)-1)</x:f>
        <x:v>0</x:v>
      </x:c>
      <x:c r="C5" s="31" t="n">
        <x:f>0</x:f>
        <x:v>0</x:v>
      </x:c>
      <x:c r="D5" s="32" t="str">
        <x:f>IF(C5=0,"LISTO","REVISAR")</x:f>
        <x:v>LISTO</x:v>
      </x:c>
    </x:row>
    <x:row r="6">
      <x:c r="A6" s="30" t="str">
        <x:v>Categorias</x:v>
      </x:c>
      <x:c r="B6" s="31" t="n">
        <x:f>MAX(0,COUNTA('Categorias'!A5:A205)-1)</x:f>
        <x:v>0</x:v>
      </x:c>
      <x:c r="C6" s="31" t="n">
        <x:f>0</x:f>
        <x:v>0</x:v>
      </x:c>
      <x:c r="D6" s="32" t="str">
        <x:f>IF(C6=0,"LISTO","REVISAR")</x:f>
        <x:v>LISTO</x:v>
      </x:c>
    </x:row>
    <x:row r="7">
      <x:c r="A7" s="30" t="str">
        <x:v>Productos</x:v>
      </x:c>
      <x:c r="B7" s="31" t="n">
        <x:f>MAX(0,COUNTA('Productos'!A5:A205)-1)</x:f>
        <x:v>0</x:v>
      </x:c>
      <x:c r="C7" s="31" t="n">
        <x:f>COUNTIF('Productos'!H5:H205,"PENDIENTE")</x:f>
        <x:v>1</x:v>
      </x:c>
      <x:c r="D7" s="32" t="str">
        <x:f>IF(C7=0,"LISTO","REVISAR")</x:f>
        <x:v>REVISAR</x:v>
      </x:c>
    </x:row>
    <x:row r="8">
      <x:c r="A8" s="30" t="str">
        <x:v>Materiales</x:v>
      </x:c>
      <x:c r="B8" s="31" t="n">
        <x:f>MAX(0,COUNTA('Materiales'!A5:A205)-1)</x:f>
        <x:v>0</x:v>
      </x:c>
      <x:c r="C8" s="31" t="n">
        <x:f>COUNTIF('Materiales'!G5:G205,"PENDIENTE")</x:f>
        <x:v>1</x:v>
      </x:c>
      <x:c r="D8" s="32" t="str">
        <x:f>IF(C8=0,"LISTO","REVISAR")</x:f>
        <x:v>REVISAR</x:v>
      </x:c>
    </x:row>
    <x:row r="9">
      <x:c r="A9" s="30" t="str">
        <x:v>Proveedores</x:v>
      </x:c>
      <x:c r="B9" s="31" t="n">
        <x:f>MAX(0,COUNTA('Proveedores'!A5:A205)-1)</x:f>
        <x:v>0</x:v>
      </x:c>
      <x:c r="C9" s="31" t="n">
        <x:f>COUNTIF('Proveedores'!G5:G205,"PENDIENTE")</x:f>
        <x:v>1</x:v>
      </x:c>
      <x:c r="D9" s="32" t="str">
        <x:f>IF(C9=0,"LISTO","REVISAR")</x:f>
        <x:v>REVISAR</x:v>
      </x:c>
    </x:row>
    <x:row r="10">
      <x:c r="A10" s="30" t="str">
        <x:v>Clientes</x:v>
      </x:c>
      <x:c r="B10" s="31" t="n">
        <x:f>MAX(0,COUNTA('Clientes'!A5:A205)-1)</x:f>
        <x:v>0</x:v>
      </x:c>
      <x:c r="C10" s="31" t="n">
        <x:f>COUNTIF('Clientes'!H5:H205,"PENDIENTE")</x:f>
        <x:v>1</x:v>
      </x:c>
      <x:c r="D10" s="32" t="str">
        <x:f>IF(C10=0,"LISTO","REVISAR")</x:f>
        <x:v>REVISAR</x:v>
      </x:c>
    </x:row>
    <x:row r="11">
      <x:c r="A11" s="30" t="str">
        <x:v>BOM</x:v>
      </x:c>
      <x:c r="B11" s="31" t="n">
        <x:f>MAX(0,COUNTA('BOM'!A5:A205)-1)</x:f>
        <x:v>0</x:v>
      </x:c>
      <x:c r="C11" s="31" t="n">
        <x:f>COUNTIF('BOM'!I5:I205,"PENDIENTE")</x:f>
        <x:v>1</x:v>
      </x:c>
      <x:c r="D11" s="32" t="str">
        <x:f>IF(C11=0,"LISTO","REVISAR")</x:f>
        <x:v>REVISAR</x:v>
      </x:c>
    </x:row>
    <x:row r="12">
      <x:c r="A12" s="30" t="str">
        <x:v>Inventario_Inicial</x:v>
      </x:c>
      <x:c r="B12" s="31" t="n">
        <x:f>MAX(0,COUNTA('Inventario_Inicial'!A5:A205)-1)</x:f>
        <x:v>0</x:v>
      </x:c>
      <x:c r="C12" s="31" t="n">
        <x:f>COUNTIF('Inventario_Inicial'!I5:I205,"PENDIENTE")</x:f>
        <x:v>1</x:v>
      </x:c>
      <x:c r="D12" s="32" t="str">
        <x:f>IF(C12=0,"LISTO","REVISAR")</x:f>
        <x:v>REVISAR</x:v>
      </x:c>
    </x:row>
    <x:row r="13">
      <x:c r="A13" s="30" t="str">
        <x:v>Cuentas_Saldos</x:v>
      </x:c>
      <x:c r="B13" s="31" t="n">
        <x:f>MAX(0,COUNTA('Cuentas_Saldos'!A5:A205)-1)</x:f>
        <x:v>0</x:v>
      </x:c>
      <x:c r="C13" s="31" t="n">
        <x:f>COUNTIF('Cuentas_Saldos'!G5:G205,"PENDIENTE")</x:f>
        <x:v>1</x:v>
      </x:c>
      <x:c r="D13" s="32" t="str">
        <x:f>IF(C13=0,"LISTO","REVISAR")</x:f>
        <x:v>REVISAR</x:v>
      </x:c>
    </x:row>
    <x:row r="14">
      <x:c r="A14" s="30" t="str">
        <x:v>Gastos_Costos</x:v>
      </x:c>
      <x:c r="B14" s="31" t="n">
        <x:f>MAX(0,COUNTA('Gastos_Costos'!A5:A205)-1)</x:f>
        <x:v>0</x:v>
      </x:c>
      <x:c r="C14" s="31" t="n">
        <x:f>COUNTIF('Gastos_Costos'!H5:H205,"PENDIENTE")</x:f>
        <x:v>1</x:v>
      </x:c>
      <x:c r="D14" s="32" t="str">
        <x:f>IF(C14=0,"LISTO","REVISAR")</x:f>
        <x:v>REVISAR</x:v>
      </x:c>
    </x:row>
  </x:sheetData>
  <x:mergeCells>
    <x:mergeCell ref="A1:D1"/>
  </x:mergeCells>
  <x:conditionalFormatting sqref="D4:D14">
    <x:cfRule type="containsText" dxfId="8" priority="1" operator="containsText" text="REVISAR"/>
  </x:conditionalFormatting>
  <x:pageMargins left="0.7" right="0.7" top="0.75" bottom="0.75" header="0.3" footer="0.3"/>
</x:worksheet>
</file>