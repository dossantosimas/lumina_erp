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abab4c098040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uarios_Roles" sheetId="1" r:id="Rd99b6d14f83a4bfa"/>
    <x:sheet xmlns:r="http://schemas.openxmlformats.org/officeDocument/2006/relationships" name="Unidades" sheetId="2" r:id="R97c3ea5fd1a94cf7"/>
    <x:sheet xmlns:r="http://schemas.openxmlformats.org/officeDocument/2006/relationships" name="Categorias" sheetId="3" r:id="R01d40cdcdc5647b4"/>
    <x:sheet xmlns:r="http://schemas.openxmlformats.org/officeDocument/2006/relationships" name="Productos" sheetId="4" r:id="R9332db6c5fbe41ac"/>
    <x:sheet xmlns:r="http://schemas.openxmlformats.org/officeDocument/2006/relationships" name="Materiales" sheetId="5" r:id="Ra2ca231dd5dc4929"/>
    <x:sheet xmlns:r="http://schemas.openxmlformats.org/officeDocument/2006/relationships" name="Proveedores" sheetId="6" r:id="R7e438c4065bb4afc"/>
    <x:sheet xmlns:r="http://schemas.openxmlformats.org/officeDocument/2006/relationships" name="Clientes" sheetId="7" r:id="Rab9115379f9748de"/>
    <x:sheet xmlns:r="http://schemas.openxmlformats.org/officeDocument/2006/relationships" name="BOM" sheetId="8" r:id="R5d4720d8e0594087"/>
    <x:sheet xmlns:r="http://schemas.openxmlformats.org/officeDocument/2006/relationships" name="Inventario_Inicial" sheetId="9" r:id="Rf2bc9c407d7f45a8"/>
    <x:sheet xmlns:r="http://schemas.openxmlformats.org/officeDocument/2006/relationships" name="Cuentas_Saldos" sheetId="10" r:id="R7ddeb72a5aed4b43"/>
    <x:sheet xmlns:r="http://schemas.openxmlformats.org/officeDocument/2006/relationships" name="Gastos_Costos" sheetId="11" r:id="Rcd1cad50da294104"/>
    <x:sheet xmlns:r="http://schemas.openxmlformats.org/officeDocument/2006/relationships" name="Instrucciones" sheetId="12" r:id="R53e73cf55dc64e19"/>
    <x:sheet xmlns:r="http://schemas.openxmlformats.org/officeDocument/2006/relationships" name="Checks" sheetId="13" r:id="Rf16cd5d4187c4da1"/>
    <x:sheet xmlns:r="http://schemas.openxmlformats.org/officeDocument/2006/relationships" name="Compras" sheetId="14" r:id="R2eae8c45cf1a4e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yyyy-mm-dd"/>
    <x:numFmt numFmtId="202" formatCode="0.######"/>
    <x:numFmt numFmtId="203" formatCode="&quot;$&quot;#,##0.00"/>
    <x:numFmt numFmtId="204" formatCode="&quot;$&quot;#,##0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F665E"/>
      <x:name val="Carlito"/>
    </x:font>
    <x:font>
      <x:b/>
      <x:sz val="11"/>
      <x:color rgb="FFFFFFFF"/>
      <x:name val="Carlito"/>
    </x:font>
    <x:font>
      <x:sz val="11"/>
      <x:color rgb="FF2F2A25"/>
      <x:name val="Carlito"/>
    </x:font>
    <x:font>
      <x:b/>
      <x:sz val="20"/>
      <x:color rgb="FFFFFFFF"/>
      <x:name val="Carlito"/>
    </x:font>
    <x:font>
      <x:b/>
      <x:sz val="11"/>
      <x:color rgb="FF2F2A25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F4B3C"/>
      </x:patternFill>
    </x:fill>
    <x:fill>
      <x:patternFill patternType="solid">
        <x:fgColor rgb="FFF5F1EB"/>
      </x:patternFill>
    </x:fill>
    <x:fill>
      <x:patternFill patternType="solid">
        <x:fgColor rgb="FFB9916C"/>
      </x:patternFill>
    </x:fill>
    <x:fill>
      <x:patternFill patternType="solid">
        <x:fgColor rgb="FFFFFDF9"/>
      </x:patternFill>
    </x:fill>
    <x:fill>
      <x:patternFill patternType="solid">
        <x:fgColor rgb="FFEEE6DA"/>
      </x:patternFill>
    </x:fill>
    <x:fill>
      <x:patternFill patternType="solid">
        <x:fgColor rgb="FFFFFDF9"/>
      </x:patternFill>
    </x:fill>
    <x:fill>
      <x:patternFill patternType="solid">
        <x:fgColor rgb="FF1F4B3C"/>
      </x:patternFill>
    </x:fill>
    <x:fill>
      <x:patternFill patternType="solid">
        <x:fgColor rgb="FFF5F1EB"/>
      </x:patternFill>
    </x:fill>
    <x:fill>
      <x:patternFill patternType="solid">
        <x:fgColor rgb="FFB9916C"/>
      </x:patternFill>
    </x:fill>
  </x:fills>
  <x:borders count="13">
    <x:border/>
    <x:border>
      <x:right style="thin">
        <x:color rgb="FFDED6CC"/>
      </x:right>
      <x:bottom style="thin">
        <x:color rgb="FFDED6CC"/>
      </x:bottom>
    </x:border>
    <x:border>
      <x:left style="thin">
        <x:color rgb="FFDED6CC"/>
      </x:left>
      <x:right style="thin">
        <x:color rgb="FFDED6CC"/>
      </x:right>
      <x:bottom style="thin">
        <x:color rgb="FFDED6CC"/>
      </x:bottom>
    </x:border>
    <x:border>
      <x:left style="thin">
        <x:color rgb="FFDED6CC"/>
      </x:left>
      <x:bottom style="thin">
        <x:color rgb="FFDED6CC"/>
      </x:bottom>
    </x:border>
    <x:border>
      <x:right style="thin">
        <x:color rgb="FFDED6CC"/>
      </x:right>
      <x:top style="thin">
        <x:color rgb="FFDED6CC"/>
      </x:top>
      <x:bottom style="thin">
        <x:color rgb="FFDED6CC"/>
      </x:bottom>
    </x:border>
    <x:border>
      <x:left style="thin">
        <x:color rgb="FFDED6CC"/>
      </x:left>
      <x:right style="thin">
        <x:color rgb="FFDED6CC"/>
      </x:right>
      <x:top style="thin">
        <x:color rgb="FFDED6CC"/>
      </x:top>
      <x:bottom style="thin">
        <x:color rgb="FFDED6CC"/>
      </x:bottom>
    </x:border>
    <x:border>
      <x:left style="thin">
        <x:color rgb="FFDED6CC"/>
      </x:left>
      <x:top style="thin">
        <x:color rgb="FFDED6CC"/>
      </x:top>
      <x:bottom style="thin">
        <x:color rgb="FFDED6CC"/>
      </x:bottom>
    </x:border>
    <x:border>
      <x:right style="thin">
        <x:color rgb="FFDED6CC"/>
      </x:right>
      <x:top style="thin">
        <x:color rgb="FFDED6CC"/>
      </x:top>
    </x:border>
    <x:border>
      <x:left style="thin">
        <x:color rgb="FFDED6CC"/>
      </x:left>
      <x:right style="thin">
        <x:color rgb="FFDED6CC"/>
      </x:right>
      <x:top style="thin">
        <x:color rgb="FFDED6CC"/>
      </x:top>
    </x:border>
    <x:border>
      <x:left style="thin">
        <x:color rgb="FFDED6CC"/>
      </x:left>
      <x:top style="thin">
        <x:color rgb="FFDED6CC"/>
      </x:top>
    </x:border>
    <x:border>
      <x:right style="thin">
        <x:color rgb="FFDED6CC"/>
      </x:right>
    </x:border>
    <x:border>
      <x:left style="thin">
        <x:color rgb="FFDED6CC"/>
      </x:left>
      <x:right style="thin">
        <x:color rgb="FFDED6CC"/>
      </x:right>
    </x:border>
    <x:border>
      <x:left style="thin">
        <x:color rgb="FFDED6CC"/>
      </x:left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2" borderId="0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4" fillId="7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5" xfId="0" applyNumberFormat="1" applyFont="1" applyFill="1" applyBorder="1" applyAlignment="1">
      <x:alignment vertical="center"/>
    </x:xf>
    <x:xf numFmtId="0" fontId="4" fillId="7" borderId="5" xfId="0" applyNumberFormat="1" applyFont="1" applyFill="1" applyBorder="1"/>
    <x:xf numFmtId="200" fontId="4" fillId="7" borderId="5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vertical="center" wrapText="1"/>
    </x:xf>
    <x:xf numFmtId="0" fontId="3" fillId="10" borderId="5" xfId="0" applyNumberFormat="1" applyFont="1" applyFill="1" applyBorder="1" applyAlignment="1">
      <x:alignment vertical="center" wrapText="1"/>
    </x:xf>
    <x:xf numFmtId="0" fontId="6" fillId="9" borderId="0" xfId="0" applyNumberFormat="1" applyFont="1" applyFill="1" applyBorder="1"/>
    <x:xf numFmtId="0" fontId="6" fillId="9" borderId="5" xfId="0" applyNumberFormat="1" applyFont="1" applyFill="1" applyBorder="1"/>
    <x:xf numFmtId="201" fontId="4" fillId="7" borderId="5" xfId="0" applyNumberFormat="1" applyFont="1" applyFill="1" applyBorder="1" applyAlignment="1">
      <x:alignment vertical="center"/>
    </x:xf>
    <x:xf numFmtId="202" fontId="4" fillId="7" borderId="5" xfId="0" applyNumberFormat="1" applyFont="1" applyFill="1" applyBorder="1" applyAlignment="1">
      <x:alignment vertical="center"/>
    </x:xf>
    <x:xf numFmtId="203" fontId="4" fillId="7" borderId="5" xfId="0" applyNumberFormat="1" applyFont="1" applyFill="1" applyBorder="1" applyAlignment="1">
      <x:alignment vertical="center"/>
    </x:xf>
    <x:xf numFmtId="204" fontId="4" fillId="7" borderId="5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/>
    <x:xf numFmtId="204" fontId="6" fillId="9" borderId="5" xfId="0" applyNumberFormat="1" applyFont="1" applyFill="1" applyBorder="1"/>
    <x:xf numFmtId="0" fontId="4" fillId="7" borderId="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6" fillId="9" borderId="5" xfId="0" applyNumberFormat="1" applyFont="1" applyFill="1" applyBorder="1" applyAlignment="1">
      <x:alignment wrapText="1"/>
    </x:xf>
    <x:xf numFmtId="0" fontId="4" fillId="0" borderId="5" xfId="0" applyNumberFormat="1" applyFont="1" applyFill="1" applyBorder="1"/>
  </x:cellXfs>
  <x:cellStyles count="1">
    <x:cellStyle name="Normal" xfId="0"/>
  </x:cellStyles>
  <x:dxfs count="21">
    <x:dxf>
      <x:font>
        <x:b/>
        <x:color rgb="FF8A3E21"/>
      </x:font>
      <x:fill>
        <x:patternFill>
          <x:bgColor rgb="FFF4D9CC"/>
        </x:patternFill>
      </x:fill>
    </x:dxf>
    <x:dxf>
      <x:font>
        <x:b/>
        <x:color rgb="FF8A3E21"/>
      </x:font>
      <x:fill>
        <x:patternFill>
          <x:bgColor rgb="FFF4D9CC"/>
        </x:patternFill>
      </x:fill>
    </x:dxf>
    <x:dxf>
      <x:font>
        <x:b/>
        <x:color rgb="FF8A3E21"/>
      </x:font>
      <x:fill>
        <x:patternFill>
          <x:bgColor rgb="FFF4D9CC"/>
        </x:patternFill>
      </x:fill>
    </x:dxf>
    <x:dxf>
      <x:font>
        <x:b/>
        <x:color rgb="FF8A3E21"/>
      </x:font>
      <x:fill>
        <x:patternFill>
          <x:bgColor rgb="FFF4D9CC"/>
        </x:patternFill>
      </x:fill>
    </x:dxf>
    <x:dxf>
      <x:font>
        <x:b/>
        <x:color rgb="FF8A3E21"/>
      </x:font>
      <x:fill>
        <x:patternFill>
          <x:bgColor rgb="FFF4D9CC"/>
        </x:patternFill>
      </x:fill>
    </x:dxf>
    <x:dxf>
      <x:font>
        <x:b/>
        <x:color rgb="FF8A3E21"/>
      </x:font>
      <x:fill>
        <x:patternFill>
          <x:bgColor rgb="FFF4D9CC"/>
        </x:patternFill>
      </x:fill>
    </x:dxf>
    <x:dxf>
      <x:font>
        <x:b/>
        <x:color rgb="FF8A3E21"/>
      </x:font>
      <x:fill>
        <x:patternFill>
          <x:bgColor rgb="FFF4D9CC"/>
        </x:patternFill>
      </x:fill>
    </x:dxf>
    <x:dxf>
      <x:font>
        <x:b/>
        <x:color rgb="FF8A3E21"/>
      </x:font>
      <x:fill>
        <x:patternFill>
          <x:bgColor rgb="FFF4D9CC"/>
        </x:patternFill>
      </x:fill>
    </x:dxf>
    <x:dxf>
      <x:font>
        <x:b/>
        <x:color rgb="FF8A3E21"/>
      </x:font>
      <x:fill>
        <x:patternFill>
          <x:bgColor rgb="FFF4D9CC"/>
        </x:patternFill>
      </x:fill>
    </x:dxf>
    <x:dxf>
      <x:font>
        <x:color rgb="FF8A3E21"/>
      </x:font>
      <x:fill>
        <x:patternFill patternType="solid">
          <x:bgColor rgb="FFF4D9CC"/>
        </x:patternFill>
      </x:fill>
    </x:dxf>
    <x:dxf>
      <x:font>
        <x:color rgb="FF8A3E21"/>
      </x:font>
      <x:fill>
        <x:patternFill patternType="solid">
          <x:bgColor rgb="FFF4D9CC"/>
        </x:patternFill>
      </x:fill>
    </x:dxf>
    <x:dxf>
      <x:font>
        <x:color rgb="FF24523B"/>
      </x:font>
      <x:fill>
        <x:patternFill patternType="solid">
          <x:bgColor rgb="FFDDEADF"/>
        </x:patternFill>
      </x:fill>
    </x:dxf>
    <x:dxf>
      <x:font>
        <x:color rgb="FF8A3E21"/>
      </x:font>
      <x:fill>
        <x:patternFill patternType="solid">
          <x:bgColor rgb="FFF4D9CC"/>
        </x:patternFill>
      </x:fill>
    </x:dxf>
    <x:dxf>
      <x:font>
        <x:color rgb="FF8A3E21"/>
      </x:font>
      <x:fill>
        <x:patternFill patternType="solid">
          <x:bgColor rgb="FFF4D9CC"/>
        </x:patternFill>
      </x:fill>
    </x:dxf>
    <x:dxf>
      <x:font>
        <x:color rgb="FF24523B"/>
      </x:font>
      <x:fill>
        <x:patternFill patternType="solid">
          <x:bgColor rgb="FFDDEADF"/>
        </x:patternFill>
      </x:fill>
    </x:dxf>
    <x:dxf>
      <x:font>
        <x:color rgb="FF8A3E21"/>
      </x:font>
      <x:fill>
        <x:patternFill patternType="solid">
          <x:bgColor rgb="FFF4D9CC"/>
        </x:patternFill>
      </x:fill>
    </x:dxf>
    <x:dxf>
      <x:font>
        <x:color rgb="FF8A3E21"/>
      </x:font>
      <x:fill>
        <x:patternFill patternType="solid">
          <x:bgColor rgb="FFF4D9CC"/>
        </x:patternFill>
      </x:fill>
    </x:dxf>
    <x:dxf>
      <x:font>
        <x:color rgb="FF24523B"/>
      </x:font>
      <x:fill>
        <x:patternFill patternType="solid">
          <x:bgColor rgb="FFDDEADF"/>
        </x:patternFill>
      </x:fill>
    </x:dxf>
    <x:dxf>
      <x:font>
        <x:color rgb="FF8A3E21"/>
      </x:font>
      <x:fill>
        <x:patternFill patternType="solid">
          <x:bgColor rgb="FFF4D9CC"/>
        </x:patternFill>
      </x:fill>
    </x:dxf>
    <x:dxf>
      <x:font>
        <x:color rgb="FF8A3E21"/>
      </x:font>
      <x:fill>
        <x:patternFill patternType="solid">
          <x:bgColor rgb="FFF4D9CC"/>
        </x:patternFill>
      </x:fill>
    </x:dxf>
    <x:dxf>
      <x:font>
        <x:color rgb="FF24523B"/>
      </x:font>
      <x:fill>
        <x:patternFill patternType="solid">
          <x:bgColor rgb="FFDDEA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04ddb55f79465a" /><Relationship Type="http://schemas.openxmlformats.org/officeDocument/2006/relationships/theme" Target="/xl/theme/theme1.xml" Id="R29865d2bff6b4706" /><Relationship Type="http://schemas.openxmlformats.org/officeDocument/2006/relationships/sharedStrings" Target="/xl/sharedStrings.xml" Id="R0cf0813d1fd44ca5" /><Relationship Type="http://schemas.openxmlformats.org/officeDocument/2006/relationships/worksheet" Target="/xl/worksheets/sheet1.xml" Id="Rd99b6d14f83a4bfa" /><Relationship Type="http://schemas.openxmlformats.org/officeDocument/2006/relationships/worksheet" Target="/xl/worksheets/sheet2.xml" Id="R97c3ea5fd1a94cf7" /><Relationship Type="http://schemas.openxmlformats.org/officeDocument/2006/relationships/worksheet" Target="/xl/worksheets/sheet3.xml" Id="R01d40cdcdc5647b4" /><Relationship Type="http://schemas.openxmlformats.org/officeDocument/2006/relationships/worksheet" Target="/xl/worksheets/sheet4.xml" Id="R9332db6c5fbe41ac" /><Relationship Type="http://schemas.openxmlformats.org/officeDocument/2006/relationships/worksheet" Target="/xl/worksheets/sheet5.xml" Id="Ra2ca231dd5dc4929" /><Relationship Type="http://schemas.openxmlformats.org/officeDocument/2006/relationships/worksheet" Target="/xl/worksheets/sheet6.xml" Id="R7e438c4065bb4afc" /><Relationship Type="http://schemas.openxmlformats.org/officeDocument/2006/relationships/worksheet" Target="/xl/worksheets/sheet7.xml" Id="Rab9115379f9748de" /><Relationship Type="http://schemas.openxmlformats.org/officeDocument/2006/relationships/worksheet" Target="/xl/worksheets/sheet8.xml" Id="R5d4720d8e0594087" /><Relationship Type="http://schemas.openxmlformats.org/officeDocument/2006/relationships/worksheet" Target="/xl/worksheets/sheet9.xml" Id="Rf2bc9c407d7f45a8" /><Relationship Type="http://schemas.openxmlformats.org/officeDocument/2006/relationships/worksheet" Target="/xl/worksheets/sheet10.xml" Id="R7ddeb72a5aed4b43" /><Relationship Type="http://schemas.openxmlformats.org/officeDocument/2006/relationships/worksheet" Target="/xl/worksheets/sheet11.xml" Id="Rcd1cad50da294104" /><Relationship Type="http://schemas.openxmlformats.org/officeDocument/2006/relationships/worksheet" Target="/xl/worksheets/sheet12.xml" Id="R53e73cf55dc64e19" /><Relationship Type="http://schemas.openxmlformats.org/officeDocument/2006/relationships/worksheet" Target="/xl/worksheets/sheet13.xml" Id="Rf16cd5d4187c4da1" /><Relationship Type="http://schemas.openxmlformats.org/officeDocument/2006/relationships/worksheet" Target="/xl/worksheets/sheet14.xml" Id="R2eae8c45cf1a4ecf" /></Relationships>
</file>

<file path=xl/tables/table1.xml><?xml version="1.0" encoding="utf-8"?>
<x:table xmlns:x="http://schemas.openxmlformats.org/spreadsheetml/2006/main" id="1" name="UsuariosRolesTable" displayName="UsuariosRolesTable" ref="A4:D5" headerRowCount="1" totalsRowCount="0" totalsRowShown="0">
  <x:tableColumns count="4">
    <x:tableColumn id="1" name="email"/>
    <x:tableColumn id="2" name="nombre"/>
    <x:tableColumn id="3" name="rol"/>
    <x:tableColumn id="4" name="activ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nidadesTable" displayName="UnidadesTable" ref="A4:E5" headerRowCount="1" totalsRowCount="0" totalsRowShown="0">
  <x:tableColumns count="5">
    <x:tableColumn id="1" name="codigo"/>
    <x:tableColumn id="2" name="nombre"/>
    <x:tableColumn id="3" name="dimension"/>
    <x:tableColumn id="4" name="factor_a_base"/>
    <x:tableColumn id="5" name="activ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tegoriasTable" displayName="CategoriasTable" ref="A4:D5" headerRowCount="1" totalsRowCount="0" totalsRowShown="0">
  <x:tableColumns count="4">
    <x:tableColumn id="1" name="codigo"/>
    <x:tableColumn id="2" name="nombre"/>
    <x:tableColumn id="3" name="categoria_padre_codigo"/>
    <x:tableColumn id="4" name="activ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ductosTable" displayName="ProductosTable" ref="A4:H5" headerRowCount="1" totalsRowCount="0" totalsRowShown="0">
  <x:tableColumns count="8">
    <x:tableColumn id="1" name="sku_producto"/>
    <x:tableColumn id="2" name="nombre_producto"/>
    <x:tableColumn id="3" name="categoria_codigo"/>
    <x:tableColumn id="4" name="sku_variante"/>
    <x:tableColumn id="5" name="nombre_variante"/>
    <x:tableColumn id="6" name="precio_venta_cop"/>
    <x:tableColumn id="7" name="activo"/>
    <x:tableColumn id="8" name="estado_dat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aterialesTable" displayName="MaterialesTable" ref="A4:G5" headerRowCount="1" totalsRowCount="0" totalsRowShown="0">
  <x:tableColumns count="7">
    <x:tableColumn id="1" name="sku"/>
    <x:tableColumn id="2" name="nombre"/>
    <x:tableColumn id="3" name="tipo"/>
    <x:tableColumn id="4" name="unidad_base"/>
    <x:tableColumn id="5" name="stock_minimo"/>
    <x:tableColumn id="6" name="activo"/>
    <x:tableColumn id="7" name="estado_dat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veedoresTable" displayName="ProveedoresTable" ref="A4:G5" headerRowCount="1" totalsRowCount="0" totalsRowShown="0">
  <x:tableColumns count="7">
    <x:tableColumn id="1" name="codigo"/>
    <x:tableColumn id="2" name="nombre"/>
    <x:tableColumn id="3" name="nit"/>
    <x:tableColumn id="4" name="email"/>
    <x:tableColumn id="5" name="telefono"/>
    <x:tableColumn id="6" name="activo"/>
    <x:tableColumn id="7" name="estado_dato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lientesTable" displayName="ClientesTable" ref="A4:H5" headerRowCount="1" totalsRowCount="0" totalsRowShown="0">
  <x:tableColumns count="8">
    <x:tableColumn id="1" name="codigo"/>
    <x:tableColumn id="2" name="tipo"/>
    <x:tableColumn id="3" name="nombre"/>
    <x:tableColumn id="4" name="documento"/>
    <x:tableColumn id="5" name="email"/>
    <x:tableColumn id="6" name="telefono"/>
    <x:tableColumn id="7" name="activo"/>
    <x:tableColumn id="8" name="estado_dato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BOMTable" displayName="BOMTable" ref="A4:I5" headerRowCount="1" totalsRowCount="0" totalsRowShown="0">
  <x:tableColumns count="9">
    <x:tableColumn id="1" name="sku_variante"/>
    <x:tableColumn id="2" name="version"/>
    <x:tableColumn id="3" name="rendimiento"/>
    <x:tableColumn id="4" name="unidad_rendimiento"/>
    <x:tableColumn id="5" name="sku_material"/>
    <x:tableColumn id="6" name="cantidad"/>
    <x:tableColumn id="7" name="unidad"/>
    <x:tableColumn id="8" name="merma_pct"/>
    <x:tableColumn id="9" name="estado_dato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InventarioInicialTable" displayName="InventarioInicialTable" ref="A4:I5" headerRowCount="1" totalsRowCount="0" totalsRowShown="0">
  <x:tableColumns count="9">
    <x:tableColumn id="1" name="fecha_corte"/>
    <x:tableColumn id="2" name="tipo_item"/>
    <x:tableColumn id="3" name="sku"/>
    <x:tableColumn id="4" name="lote"/>
    <x:tableColumn id="5" name="cantidad"/>
    <x:tableColumn id="6" name="unidad"/>
    <x:tableColumn id="7" name="costo_unitario_cop"/>
    <x:tableColumn id="8" name="motivo"/>
    <x:tableColumn id="9" name="estado_dato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uentasSaldosTable" displayName="CuentasSaldosTable" ref="A4:G5" headerRowCount="1" totalsRowCount="0" totalsRowShown="0">
  <x:tableColumns count="7">
    <x:tableColumn id="1" name="codigo"/>
    <x:tableColumn id="2" name="nombre"/>
    <x:tableColumn id="3" name="tipo"/>
    <x:tableColumn id="4" name="fecha_corte"/>
    <x:tableColumn id="5" name="saldo_cop"/>
    <x:tableColumn id="6" name="activo"/>
    <x:tableColumn id="7" name="estado_dato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GastosCostosTable" displayName="GastosCostosTable" ref="A4:H5" headerRowCount="1" totalsRowCount="0" totalsRowShown="0">
  <x:tableColumns count="8">
    <x:tableColumn id="1" name="codigo"/>
    <x:tableColumn id="2" name="nombre"/>
    <x:tableColumn id="3" name="tipo"/>
    <x:tableColumn id="4" name="frecuencia"/>
    <x:tableColumn id="5" name="importe_cop"/>
    <x:tableColumn id="6" name="criterio_asignacion"/>
    <x:tableColumn id="7" name="activo"/>
    <x:tableColumn id="8" name="estado_dato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omprasDetalle" displayName="ComprasDetalle" ref="A4:K20" headerRowCount="1" totalsRowCount="0" totalsRowShown="0">
  <x:tableColumns count="11">
    <x:tableColumn id="1" name="fecha"/>
    <x:tableColumn id="2" name="compra"/>
    <x:tableColumn id="3" name="proveedor_codigo"/>
    <x:tableColumn id="4" name="sku_material"/>
    <x:tableColumn id="5" name="articulo"/>
    <x:tableColumn id="6" name="cantidad"/>
    <x:tableColumn id="7" name="unidad"/>
    <x:tableColumn id="8" name="precio_unitario_cop"/>
    <x:tableColumn id="9" name="total_linea_cop"/>
    <x:tableColumn id="10" name="estado_dato"/>
    <x:tableColumn id="11" name="observacion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omprasResumen" displayName="ComprasResumen" ref="M4:V8" headerRowCount="1" totalsRowCount="0" totalsRowShown="0">
  <x:tableColumns count="10">
    <x:tableColumn id="1" name="compra"/>
    <x:tableColumn id="2" name="fecha"/>
    <x:tableColumn id="3" name="proveedor"/>
    <x:tableColumn id="4" name="subtotal_calculado"/>
    <x:tableColumn id="5" name="subtotal_informado"/>
    <x:tableColumn id="6" name="diferencia"/>
    <x:tableColumn id="7" name="domicilio"/>
    <x:tableColumn id="8" name="total_conocido"/>
    <x:tableColumn id="9" name="estado"/>
    <x:tableColumn id="10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4312041663462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fe36c7913d947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6daa34572e042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8aba6d9c8dc46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8cebfaf7b1d41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68c4561b4cc4f8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91bce07de00423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f2efe2ed6aa49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cf25ba5f66d45b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07f86eb10de0435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ecf9bf29bea44c1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0219b7c820374b8d" /><Relationship Type="http://schemas.openxmlformats.org/officeDocument/2006/relationships/table" Target="/xl/tables/table13.xml" Id="R1d80b26c170342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</x:cols>
  <x:sheetData>
    <x:row r="1" ht="34" customHeight="1">
      <x:c r="A1" s="3" t="str">
        <x:v>Usuarios y roles</x:v>
      </x:c>
    </x:row>
    <x:row r="2" ht="32" customHeight="1">
      <x:c r="A2" s="7" t="str">
        <x:v>Una fila por usuario y rol. Repita el correo si una persona tiene varios roles.</x:v>
      </x:c>
    </x:row>
    <x:row r="4" ht="26" customHeight="1">
      <x:c r="A4" s="11" t="str">
        <x:v>email</x:v>
      </x:c>
      <x:c r="B4" s="11" t="str">
        <x:v>nombre</x:v>
      </x:c>
      <x:c r="C4" s="11" t="str">
        <x:v>rol</x:v>
      </x:c>
      <x:c r="D4" s="11" t="str">
        <x:v>activo</x:v>
      </x:c>
    </x:row>
    <x:row r="5" ht="24" customHeight="1">
      <x:c r="A5" s="14" t="str">
        <x:v>persona@lumina.co</x:v>
      </x:c>
      <x:c r="B5" s="14" t="str">
        <x:v>NOMBRE REAL</x:v>
      </x:c>
      <x:c r="C5" s="14" t="str">
        <x:v>ADMIN</x:v>
      </x:c>
      <x:c r="D5" s="14" t="str">
        <x:v>SI</x:v>
      </x:c>
    </x:row>
  </x:sheetData>
  <x:mergeCells>
    <x:mergeCell ref="A1:D1"/>
    <x:mergeCell ref="A2:D2"/>
  </x:mergeCells>
  <x:dataValidations count="2">
    <x:dataValidation type="list" sqref="C5:C205">
      <x:formula1>"ADMIN,PRODUCTION,SALES,INVENTORY,FINANCE,PLANNING"</x:formula1>
    </x:dataValidation>
    <x:dataValidation type="list" sqref="D5:D205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4312041663462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7" hidden="0" customWidth="1"/>
    <x:col min="5" max="5" width="14" hidden="0" customWidth="1"/>
  </x:cols>
  <x:sheetData>
    <x:row r="1" ht="34" customHeight="1">
      <x:c r="A1" s="3" t="str">
        <x:v>Unidades de medida</x:v>
      </x:c>
    </x:row>
    <x:row r="2" ht="32" customHeight="1">
      <x:c r="A2" s="7" t="str">
        <x:v>factor_a_base convierte a la unidad base de su dimensión.</x:v>
      </x:c>
    </x:row>
    <x:row r="4" ht="26" customHeight="1">
      <x:c r="A4" s="11" t="str">
        <x:v>codigo</x:v>
      </x:c>
      <x:c r="B4" s="11" t="str">
        <x:v>nombre</x:v>
      </x:c>
      <x:c r="C4" s="11" t="str">
        <x:v>dimension</x:v>
      </x:c>
      <x:c r="D4" s="11" t="str">
        <x:v>factor_a_base</x:v>
      </x:c>
      <x:c r="E4" s="11" t="str">
        <x:v>activo</x:v>
      </x:c>
    </x:row>
    <x:row r="5" ht="24" customHeight="1">
      <x:c r="A5" s="36" t="str">
        <x:v>G</x:v>
      </x:c>
      <x:c r="B5" s="36" t="str">
        <x:v>Gramo</x:v>
      </x:c>
      <x:c r="C5" s="36" t="str">
        <x:v>MASS</x:v>
      </x:c>
      <x:c r="D5" s="36" t="n">
        <x:v>1</x:v>
      </x:c>
      <x:c r="E5" s="36" t="str">
        <x:v>SI</x:v>
      </x:c>
    </x:row>
    <x:row r="6">
      <x:c r="A6" s="36" t="str">
        <x:v>KG</x:v>
      </x:c>
      <x:c r="B6" s="36" t="str">
        <x:v>Kilogramo</x:v>
      </x:c>
      <x:c r="C6" s="36" t="str">
        <x:v>MASS</x:v>
      </x:c>
      <x:c r="D6" s="36" t="n">
        <x:v>1000</x:v>
      </x:c>
      <x:c r="E6" s="36" t="str">
        <x:v>SI</x:v>
      </x:c>
    </x:row>
    <x:row r="7">
      <x:c r="A7" s="36" t="str">
        <x:v>UND</x:v>
      </x:c>
      <x:c r="B7" s="36" t="str">
        <x:v>Unidad</x:v>
      </x:c>
      <x:c r="C7" s="36" t="str">
        <x:v>COUNT</x:v>
      </x:c>
      <x:c r="D7" s="36" t="n">
        <x:v>1</x:v>
      </x:c>
      <x:c r="E7" s="36" t="str">
        <x:v>SI</x:v>
      </x:c>
    </x:row>
    <x:row r="8">
      <x:c r="A8" s="36" t="str">
        <x:v>M</x:v>
      </x:c>
      <x:c r="B8" s="36" t="str">
        <x:v>Metro</x:v>
      </x:c>
      <x:c r="C8" s="36" t="str">
        <x:v>LENGTH</x:v>
      </x:c>
      <x:c r="D8" s="36" t="n">
        <x:v>1</x:v>
      </x:c>
      <x:c r="E8" s="36" t="str">
        <x:v>SI</x:v>
      </x:c>
    </x:row>
  </x:sheetData>
  <x:mergeCells>
    <x:mergeCell ref="A1:E1"/>
    <x:mergeCell ref="A2:E2"/>
  </x:mergeCells>
  <x:dataValidations count="4">
    <x:dataValidation type="list" sqref="C5:C205">
      <x:formula1>"MASS,VOLUME,UNIT,LENGTH"</x:formula1>
    </x:dataValidation>
    <x:dataValidation type="list" sqref="E5:E205">
      <x:formula1>"SI,NO"</x:formula1>
    </x:dataValidation>
    <x:dataValidation type="list" sqref="C5:C8">
      <x:formula1>"MASS,COUNT,LENGTH"</x:formula1>
    </x:dataValidation>
    <x:dataValidation type="list" sqref="E5:E8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e36c7913d947e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6" hidden="0" customWidth="1"/>
    <x:col min="4" max="4" width="14" hidden="0" customWidth="1"/>
  </x:cols>
  <x:sheetData>
    <x:row r="1" ht="34" customHeight="1">
      <x:c r="A1" s="3" t="str">
        <x:v>Categorías de producto</x:v>
      </x:c>
    </x:row>
    <x:row r="2" ht="32" customHeight="1">
      <x:c r="A2" s="7" t="str">
        <x:v>categoria_padre_codigo es opcional.</x:v>
      </x:c>
    </x:row>
    <x:row r="4" ht="26" customHeight="1">
      <x:c r="A4" s="11" t="str">
        <x:v>codigo</x:v>
      </x:c>
      <x:c r="B4" s="11" t="str">
        <x:v>nombre</x:v>
      </x:c>
      <x:c r="C4" s="11" t="str">
        <x:v>categoria_padre_codigo</x:v>
      </x:c>
      <x:c r="D4" s="11" t="str">
        <x:v>activo</x:v>
      </x:c>
    </x:row>
    <x:row r="5" ht="24" customHeight="1">
      <x:c r="A5" s="14" t="str">
        <x:v>VELAS</x:v>
      </x:c>
      <x:c r="B5" s="14" t="str">
        <x:v>Velas</x:v>
      </x:c>
      <x:c r="C5" s="14" t="str"/>
      <x:c r="D5" s="14" t="str">
        <x:v>SI</x:v>
      </x:c>
    </x:row>
  </x:sheetData>
  <x:mergeCells>
    <x:mergeCell ref="A1:D1"/>
    <x:mergeCell ref="A2:D2"/>
  </x:mergeCells>
  <x:dataValidations count="1">
    <x:dataValidation type="list" sqref="D5:D205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daa34572e0424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20" hidden="0" customWidth="1"/>
    <x:col min="4" max="4" width="16" hidden="0" customWidth="1"/>
    <x:col min="5" max="5" width="19" hidden="0" customWidth="1"/>
    <x:col min="6" max="6" width="20" hidden="0" customWidth="1"/>
    <x:col min="7" max="7" width="14" hidden="0" customWidth="1"/>
    <x:col min="8" max="8" width="15" hidden="0" customWidth="1"/>
  </x:cols>
  <x:sheetData>
    <x:row r="1" ht="34" customHeight="1">
      <x:c r="A1" s="3" t="str">
        <x:v>Productos y variantes</x:v>
      </x:c>
    </x:row>
    <x:row r="2" ht="32" customHeight="1">
      <x:c r="A2" s="7" t="str">
        <x:v>Una fila por variante vendible. Los valores de ejemplo deben confirmarse o reemplazarse.</x:v>
      </x:c>
    </x:row>
    <x:row r="4" ht="26" customHeight="1">
      <x:c r="A4" s="11" t="str">
        <x:v>sku_producto</x:v>
      </x:c>
      <x:c r="B4" s="11" t="str">
        <x:v>nombre_producto</x:v>
      </x:c>
      <x:c r="C4" s="11" t="str">
        <x:v>categoria_codigo</x:v>
      </x:c>
      <x:c r="D4" s="11" t="str">
        <x:v>sku_variante</x:v>
      </x:c>
      <x:c r="E4" s="11" t="str">
        <x:v>nombre_variante</x:v>
      </x:c>
      <x:c r="F4" s="11" t="str">
        <x:v>precio_venta_cop</x:v>
      </x:c>
      <x:c r="G4" s="11" t="str">
        <x:v>activo</x:v>
      </x:c>
      <x:c r="H4" s="11" t="str">
        <x:v>estado_dato</x:v>
      </x:c>
    </x:row>
    <x:row r="5" ht="24" customHeight="1">
      <x:c r="A5" s="14" t="str">
        <x:v>VELA-STD</x:v>
      </x:c>
      <x:c r="B5" s="14" t="str">
        <x:v>Vela Estándar</x:v>
      </x:c>
      <x:c r="C5" s="14" t="str">
        <x:v>VELAS</x:v>
      </x:c>
      <x:c r="D5" s="14" t="str">
        <x:v>VELA-STD-200</x:v>
      </x:c>
      <x:c r="E5" s="14" t="str">
        <x:v>200 g</x:v>
      </x:c>
      <x:c r="F5" s="14" t="str"/>
      <x:c r="G5" s="14" t="str">
        <x:v>SI</x:v>
      </x:c>
      <x:c r="H5" s="14" t="str">
        <x:v>PENDIENTE</x:v>
      </x:c>
    </x:row>
  </x:sheetData>
  <x:mergeCells>
    <x:mergeCell ref="A1:H1"/>
    <x:mergeCell ref="A2:H2"/>
  </x:mergeCells>
  <x:conditionalFormatting sqref="H5:H205">
    <x:cfRule type="containsText" dxfId="0" priority="1" operator="containsText" text="PENDIENTE"/>
  </x:conditionalFormatting>
  <x:dataValidations count="2">
    <x:dataValidation type="list" sqref="G5:G205">
      <x:formula1>"SI,NO"</x:formula1>
    </x:dataValidation>
    <x:dataValidation type="list" sqref="H5:H205">
      <x:formula1>"COMPLETO,PENDIENTE"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aba6d9c8dc467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4" hidden="0" customWidth="1"/>
    <x:col min="3" max="3" width="11.380000114440918" hidden="0" customWidth="1"/>
    <x:col min="4" max="4" width="12.75" hidden="0" customWidth="1"/>
    <x:col min="5" max="5" width="13.75" hidden="0" customWidth="1"/>
    <x:col min="6" max="6" width="7.630000114440918" hidden="0" customWidth="1"/>
    <x:col min="7" max="7" width="12.630000114440918" hidden="0" customWidth="1"/>
  </x:cols>
  <x:sheetData>
    <x:row r="1" ht="34" customHeight="1">
      <x:c r="A1" s="3" t="str">
        <x:v>Materias primas e insumos</x:v>
      </x:c>
    </x:row>
    <x:row r="2" ht="32" customHeight="1">
      <x:c r="A2" s="7" t="str">
        <x:v>El costo y el stock se cargan posteriormente en Inventario_Inicial.</x:v>
      </x:c>
    </x:row>
    <x:row r="4" ht="26" customHeight="1">
      <x:c r="A4" s="11" t="str">
        <x:v>sku</x:v>
      </x:c>
      <x:c r="B4" s="11" t="str">
        <x:v>nombre</x:v>
      </x:c>
      <x:c r="C4" s="11" t="str">
        <x:v>tipo</x:v>
      </x:c>
      <x:c r="D4" s="11" t="str">
        <x:v>unidad_base</x:v>
      </x:c>
      <x:c r="E4" s="11" t="str">
        <x:v>stock_minimo</x:v>
      </x:c>
      <x:c r="F4" s="11" t="str">
        <x:v>activo</x:v>
      </x:c>
      <x:c r="G4" s="11" t="str">
        <x:v>estado_dato</x:v>
      </x:c>
    </x:row>
    <x:row r="5" ht="24" customHeight="1">
      <x:c r="A5" s="36" t="str">
        <x:v>MECHA</x:v>
      </x:c>
      <x:c r="B5" s="36" t="str">
        <x:v>Mecha</x:v>
      </x:c>
      <x:c r="C5" s="36" t="str">
        <x:v>SUPPLY</x:v>
      </x:c>
      <x:c r="D5" s="36" t="str">
        <x:v>M</x:v>
      </x:c>
      <x:c r="E5" s="36"/>
      <x:c r="F5" s="36" t="str">
        <x:v>SI</x:v>
      </x:c>
      <x:c r="G5" s="36" t="str">
        <x:v>COMPLETO</x:v>
      </x:c>
    </x:row>
    <x:row r="6">
      <x:c r="A6" s="36" t="str">
        <x:v>PORTA-MECHA</x:v>
      </x:c>
      <x:c r="B6" s="36" t="str">
        <x:v>Porta mecha</x:v>
      </x:c>
      <x:c r="C6" s="36" t="str">
        <x:v>SUPPLY</x:v>
      </x:c>
      <x:c r="D6" s="36" t="str">
        <x:v>UND</x:v>
      </x:c>
      <x:c r="E6" s="36"/>
      <x:c r="F6" s="36" t="str">
        <x:v>SI</x:v>
      </x:c>
      <x:c r="G6" s="36" t="str">
        <x:v>COMPLETO</x:v>
      </x:c>
    </x:row>
    <x:row r="7">
      <x:c r="A7" s="36" t="str">
        <x:v>FRAG-FRESA-CHOC</x:v>
      </x:c>
      <x:c r="B7" s="36" t="str">
        <x:v>Fragancia Fresas con chocolate</x:v>
      </x:c>
      <x:c r="C7" s="36" t="str">
        <x:v>RAW</x:v>
      </x:c>
      <x:c r="D7" s="36" t="str">
        <x:v>G</x:v>
      </x:c>
      <x:c r="E7" s="36"/>
      <x:c r="F7" s="36" t="str">
        <x:v>SI</x:v>
      </x:c>
      <x:c r="G7" s="36" t="str">
        <x:v>COMPLETO</x:v>
      </x:c>
    </x:row>
    <x:row r="8">
      <x:c r="A8" s="36" t="str">
        <x:v>FRAG-ALMENDRA-MACADAMIA</x:v>
      </x:c>
      <x:c r="B8" s="36" t="str">
        <x:v>Fragancia Almendra y macadamia</x:v>
      </x:c>
      <x:c r="C8" s="36" t="str">
        <x:v>RAW</x:v>
      </x:c>
      <x:c r="D8" s="36" t="str">
        <x:v>G</x:v>
      </x:c>
      <x:c r="E8" s="36"/>
      <x:c r="F8" s="36" t="str">
        <x:v>SI</x:v>
      </x:c>
      <x:c r="G8" s="36" t="str">
        <x:v>COMPLETO</x:v>
      </x:c>
    </x:row>
    <x:row r="9">
      <x:c r="A9" s="36" t="str">
        <x:v>FRAG-PINO</x:v>
      </x:c>
      <x:c r="B9" s="36" t="str">
        <x:v>Fragancia Pino</x:v>
      </x:c>
      <x:c r="C9" s="36" t="str">
        <x:v>RAW</x:v>
      </x:c>
      <x:c r="D9" s="36" t="str">
        <x:v>G</x:v>
      </x:c>
      <x:c r="E9" s="36"/>
      <x:c r="F9" s="36" t="str">
        <x:v>SI</x:v>
      </x:c>
      <x:c r="G9" s="36" t="str">
        <x:v>COMPLETO</x:v>
      </x:c>
    </x:row>
    <x:row r="10">
      <x:c r="A10" s="36" t="str">
        <x:v>FRAG-CREMA-WHISKEY</x:v>
      </x:c>
      <x:c r="B10" s="36" t="str">
        <x:v>Fragancia Crema de whiskey</x:v>
      </x:c>
      <x:c r="C10" s="36" t="str">
        <x:v>RAW</x:v>
      </x:c>
      <x:c r="D10" s="36" t="str">
        <x:v>G</x:v>
      </x:c>
      <x:c r="E10" s="36"/>
      <x:c r="F10" s="36" t="str">
        <x:v>SI</x:v>
      </x:c>
      <x:c r="G10" s="36" t="str">
        <x:v>COMPLETO</x:v>
      </x:c>
    </x:row>
    <x:row r="11">
      <x:c r="A11" s="36" t="str">
        <x:v>FRAG-MAGICA-NAVIDAD</x:v>
      </x:c>
      <x:c r="B11" s="36" t="str">
        <x:v>Fragancia Mágica navidad</x:v>
      </x:c>
      <x:c r="C11" s="36" t="str">
        <x:v>RAW</x:v>
      </x:c>
      <x:c r="D11" s="36" t="str">
        <x:v>G</x:v>
      </x:c>
      <x:c r="E11" s="36"/>
      <x:c r="F11" s="36" t="str">
        <x:v>SI</x:v>
      </x:c>
      <x:c r="G11" s="36" t="str">
        <x:v>COMPLETO</x:v>
      </x:c>
    </x:row>
    <x:row r="12">
      <x:c r="A12" s="36" t="str">
        <x:v>FIJADOR-AROMAS</x:v>
      </x:c>
      <x:c r="B12" s="36" t="str">
        <x:v>Fijador de aromas</x:v>
      </x:c>
      <x:c r="C12" s="36" t="str">
        <x:v>RAW</x:v>
      </x:c>
      <x:c r="D12" s="36" t="str">
        <x:v>G</x:v>
      </x:c>
      <x:c r="E12" s="36"/>
      <x:c r="F12" s="36" t="str">
        <x:v>SI</x:v>
      </x:c>
      <x:c r="G12" s="36" t="str">
        <x:v>COMPLETO</x:v>
      </x:c>
    </x:row>
    <x:row r="13">
      <x:c r="A13" s="36" t="str">
        <x:v>CERA-VASO</x:v>
      </x:c>
      <x:c r="B13" s="36" t="str">
        <x:v>Cera para vaso</x:v>
      </x:c>
      <x:c r="C13" s="36" t="str">
        <x:v>RAW</x:v>
      </x:c>
      <x:c r="D13" s="36" t="str">
        <x:v>KG</x:v>
      </x:c>
      <x:c r="E13" s="36"/>
      <x:c r="F13" s="36" t="str">
        <x:v>SI</x:v>
      </x:c>
      <x:c r="G13" s="36" t="str">
        <x:v>COMPLETO</x:v>
      </x:c>
    </x:row>
    <x:row r="14">
      <x:c r="A14" s="36" t="str">
        <x:v>ENVASE-AMBAR-240-TAPA-NEGRA</x:v>
      </x:c>
      <x:c r="B14" s="36" t="str">
        <x:v>Envase vidrio ámbar 240 ml con tapa negra</x:v>
      </x:c>
      <x:c r="C14" s="36" t="str">
        <x:v>PACKAGING</x:v>
      </x:c>
      <x:c r="D14" s="36" t="str">
        <x:v>UND</x:v>
      </x:c>
      <x:c r="E14" s="36"/>
      <x:c r="F14" s="36" t="str">
        <x:v>SI</x:v>
      </x:c>
      <x:c r="G14" s="36" t="str">
        <x:v>COMPLETO</x:v>
      </x:c>
    </x:row>
    <x:row r="15">
      <x:c r="A15" s="36" t="str">
        <x:v>STICKER-REDONDO-3X3</x:v>
      </x:c>
      <x:c r="B15" s="36" t="str">
        <x:v>Sticker redondo 3x3</x:v>
      </x:c>
      <x:c r="C15" s="36" t="str">
        <x:v>PACKAGING</x:v>
      </x:c>
      <x:c r="D15" s="36" t="str">
        <x:v>UND</x:v>
      </x:c>
      <x:c r="E15" s="36"/>
      <x:c r="F15" s="36" t="str">
        <x:v>SI</x:v>
      </x:c>
      <x:c r="G15" s="36" t="str">
        <x:v>COMPLETO</x:v>
      </x:c>
    </x:row>
    <x:row r="16">
      <x:c r="A16" s="36" t="str">
        <x:v>STICKER-CUADRADO-6X6</x:v>
      </x:c>
      <x:c r="B16" s="36" t="str">
        <x:v>Sticker cuadrado 6x6</x:v>
      </x:c>
      <x:c r="C16" s="36" t="str">
        <x:v>PACKAGING</x:v>
      </x:c>
      <x:c r="D16" s="36" t="str">
        <x:v>UND</x:v>
      </x:c>
      <x:c r="E16" s="36"/>
      <x:c r="F16" s="36" t="str">
        <x:v>SI</x:v>
      </x:c>
      <x:c r="G16" s="36" t="str">
        <x:v>COMPLETO</x:v>
      </x:c>
    </x:row>
    <x:row r="17">
      <x:c r="A17" s="36" t="str">
        <x:v>CAJA-12X12X9</x:v>
      </x:c>
      <x:c r="B17" s="36" t="str">
        <x:v>Caja 12x12x9</x:v>
      </x:c>
      <x:c r="C17" s="36" t="str">
        <x:v>PACKAGING</x:v>
      </x:c>
      <x:c r="D17" s="36" t="str">
        <x:v>UND</x:v>
      </x:c>
      <x:c r="E17" s="36"/>
      <x:c r="F17" s="36" t="str">
        <x:v>SI</x:v>
      </x:c>
      <x:c r="G17" s="36" t="str">
        <x:v>COMPLETO</x:v>
      </x:c>
    </x:row>
    <x:row r="18">
      <x:c r="A18" s="36" t="str">
        <x:v>BOLSA-YUTE-MARRON</x:v>
      </x:c>
      <x:c r="B18" s="36" t="str">
        <x:v>Bolsa de yute marrón</x:v>
      </x:c>
      <x:c r="C18" s="36" t="str">
        <x:v>PACKAGING</x:v>
      </x:c>
      <x:c r="D18" s="36" t="str">
        <x:v>UND</x:v>
      </x:c>
      <x:c r="E18" s="36"/>
      <x:c r="F18" s="36" t="str">
        <x:v>SI</x:v>
      </x:c>
      <x:c r="G18" s="36" t="str">
        <x:v>COMPLETO</x:v>
      </x:c>
    </x:row>
    <x:row r="19">
      <x:c r="A19" s="36" t="str">
        <x:v>FRASCO-FOSFORO-CORCHO</x:v>
      </x:c>
      <x:c r="B19" s="36" t="str">
        <x:v>Frasco para fósforo con corcho</x:v>
      </x:c>
      <x:c r="C19" s="36" t="str">
        <x:v>PACKAGING</x:v>
      </x:c>
      <x:c r="D19" s="36" t="str">
        <x:v>UND</x:v>
      </x:c>
      <x:c r="E19" s="36"/>
      <x:c r="F19" s="36" t="str">
        <x:v>SI</x:v>
      </x:c>
      <x:c r="G19" s="36" t="str">
        <x:v>COMPLETO</x:v>
      </x:c>
    </x:row>
    <x:row r="20">
      <x:c r="A20" s="36" t="str">
        <x:v>PAPEL-PICADO</x:v>
      </x:c>
      <x:c r="B20" s="36" t="str">
        <x:v>Papel picado</x:v>
      </x:c>
      <x:c r="C20" s="36" t="str">
        <x:v>PACKAGING</x:v>
      </x:c>
      <x:c r="D20" s="36"/>
      <x:c r="E20" s="36"/>
      <x:c r="F20" s="36" t="str">
        <x:v>SI</x:v>
      </x:c>
      <x:c r="G20" s="36" t="str">
        <x:v>PENDIENTE</x:v>
      </x:c>
    </x:row>
  </x:sheetData>
  <x:mergeCells>
    <x:mergeCell ref="A1:G1"/>
    <x:mergeCell ref="A2:G2"/>
  </x:mergeCells>
  <x:conditionalFormatting sqref="G5:G205">
    <x:cfRule type="containsText" dxfId="1" priority="1" operator="containsText" text="PENDIENTE"/>
  </x:conditionalFormatting>
  <x:conditionalFormatting sqref="G5:G20">
    <x:cfRule type="cellIs" dxfId="12" priority="2" operator="equal">
      <x:formula>"PENDIENTE"</x:formula>
    </x:cfRule>
    <x:cfRule type="cellIs" dxfId="13" priority="3" operator="equal">
      <x:formula>"REVISAR"</x:formula>
    </x:cfRule>
    <x:cfRule type="cellIs" dxfId="14" priority="4" operator="equal">
      <x:formula>"COMPLETO"</x:formula>
    </x:cfRule>
  </x:conditionalFormatting>
  <x:dataValidations count="7">
    <x:dataValidation type="list" sqref="C5:C205">
      <x:formula1>"RAW,PACKAGING,SUPPLY"</x:formula1>
    </x:dataValidation>
    <x:dataValidation type="list" sqref="F5:F205">
      <x:formula1>"SI,NO"</x:formula1>
    </x:dataValidation>
    <x:dataValidation type="list" sqref="G5:G205">
      <x:formula1>"COMPLETO,PENDIENTE"</x:formula1>
    </x:dataValidation>
    <x:dataValidation type="list" sqref="C5:C20">
      <x:formula1>"RAW,PACKAGING,SUPPLY"</x:formula1>
    </x:dataValidation>
    <x:dataValidation type="list" sqref="D5:D20">
      <x:formula1>"G,KG,UND,M"</x:formula1>
    </x:dataValidation>
    <x:dataValidation type="list" sqref="F5:F20">
      <x:formula1>"SI,NO"</x:formula1>
    </x:dataValidation>
    <x:dataValidation type="list" sqref="G5:G20">
      <x:formula1>"COMPLETO,PENDIENTE"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cebfaf7b1d41a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5" hidden="0" customWidth="1"/>
  </x:cols>
  <x:sheetData>
    <x:row r="1" ht="34" customHeight="1">
      <x:c r="A1" s="3" t="str">
        <x:v>Proveedores</x:v>
      </x:c>
    </x:row>
    <x:row r="2" ht="32" customHeight="1">
      <x:c r="A2" s="7" t="str">
        <x:v>NIT y datos de contacto pueden quedar pendientes.</x:v>
      </x:c>
    </x:row>
    <x:row r="4" ht="26" customHeight="1">
      <x:c r="A4" s="11" t="str">
        <x:v>codigo</x:v>
      </x:c>
      <x:c r="B4" s="11" t="str">
        <x:v>nombre</x:v>
      </x:c>
      <x:c r="C4" s="11" t="str">
        <x:v>nit</x:v>
      </x:c>
      <x:c r="D4" s="11" t="str">
        <x:v>email</x:v>
      </x:c>
      <x:c r="E4" s="11" t="str">
        <x:v>telefono</x:v>
      </x:c>
      <x:c r="F4" s="11" t="str">
        <x:v>activo</x:v>
      </x:c>
      <x:c r="G4" s="11" t="str">
        <x:v>estado_dato</x:v>
      </x:c>
    </x:row>
    <x:row r="5" ht="24" customHeight="1">
      <x:c r="A5" s="36" t="str">
        <x:v>NATURCHEM</x:v>
      </x:c>
      <x:c r="B5" s="36" t="str">
        <x:v>Naturchem</x:v>
      </x:c>
      <x:c r="C5" s="36"/>
      <x:c r="D5" s="36"/>
      <x:c r="E5" s="38" t="str">
        <x:v>3005267013</x:v>
      </x:c>
      <x:c r="F5" s="36" t="str">
        <x:v>SI</x:v>
      </x:c>
      <x:c r="G5" s="36" t="str">
        <x:v>PENDIENTE</x:v>
      </x:c>
    </x:row>
    <x:row r="6">
      <x:c r="A6" s="36" t="str">
        <x:v>CENTROENVASES14</x:v>
      </x:c>
      <x:c r="B6" s="36" t="str">
        <x:v>CentroEnvases la 14</x:v>
      </x:c>
      <x:c r="C6" s="36"/>
      <x:c r="D6" s="36"/>
      <x:c r="E6" s="38" t="str">
        <x:v>3134249376</x:v>
      </x:c>
      <x:c r="F6" s="36" t="str">
        <x:v>SI</x:v>
      </x:c>
      <x:c r="G6" s="36" t="str">
        <x:v>PENDIENTE</x:v>
      </x:c>
    </x:row>
    <x:row r="7">
      <x:c r="A7" s="36" t="str">
        <x:v>STICKERS-IMPACTO</x:v>
      </x:c>
      <x:c r="B7" s="36" t="str">
        <x:v>Stickers Impacto Digital</x:v>
      </x:c>
      <x:c r="C7" s="36"/>
      <x:c r="D7" s="36"/>
      <x:c r="E7" s="38"/>
      <x:c r="F7" s="36" t="str">
        <x:v>SI</x:v>
      </x:c>
      <x:c r="G7" s="36" t="str">
        <x:v>PENDIENTE</x:v>
      </x:c>
    </x:row>
    <x:row r="8">
      <x:c r="A8" s="36" t="str">
        <x:v>EMPAQUETATE</x:v>
      </x:c>
      <x:c r="B8" s="36" t="str">
        <x:v>Empaquetate</x:v>
      </x:c>
      <x:c r="C8" s="36"/>
      <x:c r="D8" s="36"/>
      <x:c r="E8" s="38"/>
      <x:c r="F8" s="36" t="str">
        <x:v>SI</x:v>
      </x:c>
      <x:c r="G8" s="36" t="str">
        <x:v>PENDIENTE</x:v>
      </x:c>
    </x:row>
  </x:sheetData>
  <x:mergeCells>
    <x:mergeCell ref="A1:G1"/>
    <x:mergeCell ref="A2:G2"/>
  </x:mergeCells>
  <x:conditionalFormatting sqref="G5:G205">
    <x:cfRule type="containsText" dxfId="2" priority="1" operator="containsText" text="PENDIENTE"/>
  </x:conditionalFormatting>
  <x:conditionalFormatting sqref="G5:G8">
    <x:cfRule type="cellIs" dxfId="9" priority="2" operator="equal">
      <x:formula>"PENDIENTE"</x:formula>
    </x:cfRule>
    <x:cfRule type="cellIs" dxfId="10" priority="3" operator="equal">
      <x:formula>"REVISAR"</x:formula>
    </x:cfRule>
    <x:cfRule type="cellIs" dxfId="11" priority="4" operator="equal">
      <x:formula>"COMPLETO"</x:formula>
    </x:cfRule>
  </x:conditionalFormatting>
  <x:dataValidations count="4">
    <x:dataValidation type="list" sqref="F5:F205">
      <x:formula1>"SI,NO"</x:formula1>
    </x:dataValidation>
    <x:dataValidation type="list" sqref="G5:G205">
      <x:formula1>"COMPLETO,PENDIENTE"</x:formula1>
    </x:dataValidation>
    <x:dataValidation type="list" sqref="F5:F8">
      <x:formula1>"SI,NO"</x:formula1>
    </x:dataValidation>
    <x:dataValidation type="list" sqref="G5:G8">
      <x:formula1>"COMPLETO,PENDIENTE"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8c4561b4cc4f8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5" hidden="0" customWidth="1"/>
  </x:cols>
  <x:sheetData>
    <x:row r="1" ht="34" customHeight="1">
      <x:c r="A1" s="3" t="str">
        <x:v>Clientes</x:v>
      </x:c>
    </x:row>
    <x:row r="2" ht="32" customHeight="1">
      <x:c r="A2" s="7" t="str">
        <x:v>tipo distingue personas y empresas.</x:v>
      </x:c>
    </x:row>
    <x:row r="4" ht="26" customHeight="1">
      <x:c r="A4" s="11" t="str">
        <x:v>codigo</x:v>
      </x:c>
      <x:c r="B4" s="11" t="str">
        <x:v>tipo</x:v>
      </x:c>
      <x:c r="C4" s="11" t="str">
        <x:v>nombre</x:v>
      </x:c>
      <x:c r="D4" s="11" t="str">
        <x:v>documento</x:v>
      </x:c>
      <x:c r="E4" s="11" t="str">
        <x:v>email</x:v>
      </x:c>
      <x:c r="F4" s="11" t="str">
        <x:v>telefono</x:v>
      </x:c>
      <x:c r="G4" s="11" t="str">
        <x:v>activo</x:v>
      </x:c>
      <x:c r="H4" s="11" t="str">
        <x:v>estado_dato</x:v>
      </x:c>
    </x:row>
    <x:row r="5" ht="24" customHeight="1">
      <x:c r="A5" s="14" t="str">
        <x:v>CLI-001</x:v>
      </x:c>
      <x:c r="B5" s="14" t="str">
        <x:v>PERSON</x:v>
      </x:c>
      <x:c r="C5" s="14" t="str">
        <x:v>NOMBRE REAL</x:v>
      </x:c>
      <x:c r="D5" s="14" t="str"/>
      <x:c r="E5" s="14" t="str"/>
      <x:c r="F5" s="14" t="str"/>
      <x:c r="G5" s="14" t="str">
        <x:v>SI</x:v>
      </x:c>
      <x:c r="H5" s="14" t="str">
        <x:v>PENDIENTE</x:v>
      </x:c>
    </x:row>
  </x:sheetData>
  <x:mergeCells>
    <x:mergeCell ref="A1:H1"/>
    <x:mergeCell ref="A2:H2"/>
  </x:mergeCells>
  <x:conditionalFormatting sqref="H5:H205">
    <x:cfRule type="containsText" dxfId="3" priority="1" operator="containsText" text="PENDIENTE"/>
  </x:conditionalFormatting>
  <x:dataValidations count="3">
    <x:dataValidation type="list" sqref="B5:B205">
      <x:formula1>"PERSON,COMPANY"</x:formula1>
    </x:dataValidation>
    <x:dataValidation type="list" sqref="G5:G205">
      <x:formula1>"SI,NO"</x:formula1>
    </x:dataValidation>
    <x:dataValidation type="list" sqref="H5:H205">
      <x:formula1>"COMPLETO,PENDIENTE"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1bce07de00423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5" hidden="0" customWidth="1"/>
    <x:col min="4" max="4" width="22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  <x:col min="9" max="9" width="15" hidden="0" customWidth="1"/>
  </x:cols>
  <x:sheetData>
    <x:row r="1" ht="34" customHeight="1">
      <x:c r="A1" s="3" t="str">
        <x:v>Ficha técnica / BOM</x:v>
      </x:c>
    </x:row>
    <x:row r="2" ht="32" customHeight="1">
      <x:c r="A2" s="7" t="str">
        <x:v>Una fila por componente. El ejemplo de la Vela Estándar 200g proviene de gestion.md.</x:v>
      </x:c>
    </x:row>
    <x:row r="4" ht="26" customHeight="1">
      <x:c r="A4" s="11" t="str">
        <x:v>sku_variante</x:v>
      </x:c>
      <x:c r="B4" s="11" t="str">
        <x:v>version</x:v>
      </x:c>
      <x:c r="C4" s="11" t="str">
        <x:v>rendimiento</x:v>
      </x:c>
      <x:c r="D4" s="11" t="str">
        <x:v>unidad_rendimiento</x:v>
      </x:c>
      <x:c r="E4" s="11" t="str">
        <x:v>sku_material</x:v>
      </x:c>
      <x:c r="F4" s="11" t="str">
        <x:v>cantidad</x:v>
      </x:c>
      <x:c r="G4" s="11" t="str">
        <x:v>unidad</x:v>
      </x:c>
      <x:c r="H4" s="11" t="str">
        <x:v>merma_pct</x:v>
      </x:c>
      <x:c r="I4" s="11" t="str">
        <x:v>estado_dato</x:v>
      </x:c>
    </x:row>
    <x:row r="5" ht="24" customHeight="1">
      <x:c r="A5" s="14" t="str">
        <x:v>VELA-STD-200</x:v>
      </x:c>
      <x:c r="B5" s="14" t="n">
        <x:v>1</x:v>
      </x:c>
      <x:c r="C5" s="14" t="n">
        <x:v>1</x:v>
      </x:c>
      <x:c r="D5" s="14" t="str">
        <x:v>UND</x:v>
      </x:c>
      <x:c r="E5" s="14" t="str">
        <x:v>CERA-SOYA</x:v>
      </x:c>
      <x:c r="F5" s="14" t="n">
        <x:v>180</x:v>
      </x:c>
      <x:c r="G5" s="14" t="str">
        <x:v>G</x:v>
      </x:c>
      <x:c r="H5" s="14" t="n">
        <x:v>0</x:v>
      </x:c>
      <x:c r="I5" s="14" t="str">
        <x:v>PENDIENTE</x:v>
      </x:c>
    </x:row>
  </x:sheetData>
  <x:mergeCells>
    <x:mergeCell ref="A1:I1"/>
    <x:mergeCell ref="A2:I2"/>
  </x:mergeCells>
  <x:conditionalFormatting sqref="I5:I205">
    <x:cfRule type="containsText" dxfId="4" priority="1" operator="containsText" text="PENDIENTE"/>
  </x:conditionalFormatting>
  <x:dataValidations count="1">
    <x:dataValidation type="list" sqref="I5:I205">
      <x:formula1>"COMPLETO,PENDIENTE"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2efe2ed6aa494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2" hidden="0" customWidth="1"/>
    <x:col min="8" max="8" width="14" hidden="0" customWidth="1"/>
    <x:col min="9" max="9" width="15" hidden="0" customWidth="1"/>
  </x:cols>
  <x:sheetData>
    <x:row r="1" ht="34" customHeight="1">
      <x:c r="A1" s="3" t="str">
        <x:v>Conteo físico inicial</x:v>
      </x:c>
    </x:row>
    <x:row r="2" ht="32" customHeight="1">
      <x:c r="A2" s="7" t="str">
        <x:v>Registrar el conteo real y costo unitario a la fecha de corte. No incluir movimientos históricos.</x:v>
      </x:c>
    </x:row>
    <x:row r="4" ht="26" customHeight="1">
      <x:c r="A4" s="11" t="str">
        <x:v>fecha_corte</x:v>
      </x:c>
      <x:c r="B4" s="11" t="str">
        <x:v>tipo_item</x:v>
      </x:c>
      <x:c r="C4" s="11" t="str">
        <x:v>sku</x:v>
      </x:c>
      <x:c r="D4" s="11" t="str">
        <x:v>lote</x:v>
      </x:c>
      <x:c r="E4" s="11" t="str">
        <x:v>cantidad</x:v>
      </x:c>
      <x:c r="F4" s="11" t="str">
        <x:v>unidad</x:v>
      </x:c>
      <x:c r="G4" s="11" t="str">
        <x:v>costo_unitario_cop</x:v>
      </x:c>
      <x:c r="H4" s="11" t="str">
        <x:v>motivo</x:v>
      </x:c>
      <x:c r="I4" s="11" t="str">
        <x:v>estado_dato</x:v>
      </x:c>
    </x:row>
    <x:row r="5" ht="24" customHeight="1">
      <x:c r="A5" s="14" t="str"/>
      <x:c r="B5" s="14" t="str">
        <x:v>MATERIAL</x:v>
      </x:c>
      <x:c r="C5" s="14" t="str">
        <x:v>CERA-SOYA</x:v>
      </x:c>
      <x:c r="D5" s="14" t="str">
        <x:v>APERTURA-001</x:v>
      </x:c>
      <x:c r="E5" s="14" t="str"/>
      <x:c r="F5" s="14" t="str">
        <x:v>G</x:v>
      </x:c>
      <x:c r="G5" s="14" t="str"/>
      <x:c r="H5" s="14" t="str">
        <x:v>CONTEO INICIAL</x:v>
      </x:c>
      <x:c r="I5" s="14" t="str">
        <x:v>PENDIENTE</x:v>
      </x:c>
    </x:row>
  </x:sheetData>
  <x:mergeCells>
    <x:mergeCell ref="A1:I1"/>
    <x:mergeCell ref="A2:I2"/>
  </x:mergeCells>
  <x:conditionalFormatting sqref="I5:I205">
    <x:cfRule type="containsText" dxfId="5" priority="1" operator="containsText" text="PENDIENTE"/>
  </x:conditionalFormatting>
  <x:dataValidations count="2">
    <x:dataValidation type="list" sqref="B5:B205">
      <x:formula1>"MATERIAL,PRODUCT"</x:formula1>
    </x:dataValidation>
    <x:dataValidation type="list" sqref="I5:I205">
      <x:formula1>"COMPLETO,PENDIENTE"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f25ba5f66d45b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5" hidden="0" customWidth="1"/>
    <x:col min="5" max="5" width="14" hidden="0" customWidth="1"/>
    <x:col min="6" max="6" width="14" hidden="0" customWidth="1"/>
    <x:col min="7" max="7" width="15" hidden="0" customWidth="1"/>
  </x:cols>
  <x:sheetData>
    <x:row r="1" ht="34" customHeight="1">
      <x:c r="A1" s="3" t="str">
        <x:v>Cuentas y saldos de apertura</x:v>
      </x:c>
    </x:row>
    <x:row r="2" ht="32" customHeight="1">
      <x:c r="A2" s="7" t="str">
        <x:v>Una fila por caja, banco u otra cuenta financiera interna.</x:v>
      </x:c>
    </x:row>
    <x:row r="4" ht="26" customHeight="1">
      <x:c r="A4" s="11" t="str">
        <x:v>codigo</x:v>
      </x:c>
      <x:c r="B4" s="11" t="str">
        <x:v>nombre</x:v>
      </x:c>
      <x:c r="C4" s="11" t="str">
        <x:v>tipo</x:v>
      </x:c>
      <x:c r="D4" s="11" t="str">
        <x:v>fecha_corte</x:v>
      </x:c>
      <x:c r="E4" s="11" t="str">
        <x:v>saldo_cop</x:v>
      </x:c>
      <x:c r="F4" s="11" t="str">
        <x:v>activo</x:v>
      </x:c>
      <x:c r="G4" s="11" t="str">
        <x:v>estado_dato</x:v>
      </x:c>
    </x:row>
    <x:row r="5" ht="24" customHeight="1">
      <x:c r="A5" s="14" t="str">
        <x:v>CAJA-PRINCIPAL</x:v>
      </x:c>
      <x:c r="B5" s="14" t="str">
        <x:v>Caja principal</x:v>
      </x:c>
      <x:c r="C5" s="14" t="str">
        <x:v>CASH</x:v>
      </x:c>
      <x:c r="D5" s="14" t="str"/>
      <x:c r="E5" s="14" t="str"/>
      <x:c r="F5" s="14" t="str">
        <x:v>SI</x:v>
      </x:c>
      <x:c r="G5" s="14" t="str">
        <x:v>PENDIENTE</x:v>
      </x:c>
    </x:row>
  </x:sheetData>
  <x:mergeCells>
    <x:mergeCell ref="A1:G1"/>
    <x:mergeCell ref="A2:G2"/>
  </x:mergeCells>
  <x:conditionalFormatting sqref="G5:G205">
    <x:cfRule type="containsText" dxfId="6" priority="1" operator="containsText" text="PENDIENTE"/>
  </x:conditionalFormatting>
  <x:dataValidations count="3">
    <x:dataValidation type="list" sqref="C5:C205">
      <x:formula1>"CASH,BANK,OTHER"</x:formula1>
    </x:dataValidation>
    <x:dataValidation type="list" sqref="F5:F205">
      <x:formula1>"SI,NO"</x:formula1>
    </x:dataValidation>
    <x:dataValidation type="list" sqref="G5:G205">
      <x:formula1>"COMPLETO,PENDIENTE"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f86eb10de0435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5" hidden="0" customWidth="1"/>
    <x:col min="6" max="6" width="23" hidden="0" customWidth="1"/>
    <x:col min="7" max="7" width="14" hidden="0" customWidth="1"/>
    <x:col min="8" max="8" width="15" hidden="0" customWidth="1"/>
  </x:cols>
  <x:sheetData>
    <x:row r="1" ht="34" customHeight="1">
      <x:c r="A1" s="3" t="str">
        <x:v>Gastos fijos y costos indirectos</x:v>
      </x:c>
    </x:row>
    <x:row r="2" ht="32" customHeight="1">
      <x:c r="A2" s="7" t="str">
        <x:v>Frecuencia y criterio de asignación deben ser confirmados por Finanzas.</x:v>
      </x:c>
    </x:row>
    <x:row r="4" ht="26" customHeight="1">
      <x:c r="A4" s="11" t="str">
        <x:v>codigo</x:v>
      </x:c>
      <x:c r="B4" s="11" t="str">
        <x:v>nombre</x:v>
      </x:c>
      <x:c r="C4" s="11" t="str">
        <x:v>tipo</x:v>
      </x:c>
      <x:c r="D4" s="11" t="str">
        <x:v>frecuencia</x:v>
      </x:c>
      <x:c r="E4" s="11" t="str">
        <x:v>importe_cop</x:v>
      </x:c>
      <x:c r="F4" s="11" t="str">
        <x:v>criterio_asignacion</x:v>
      </x:c>
      <x:c r="G4" s="11" t="str">
        <x:v>activo</x:v>
      </x:c>
      <x:c r="H4" s="11" t="str">
        <x:v>estado_dato</x:v>
      </x:c>
    </x:row>
    <x:row r="5" ht="24" customHeight="1">
      <x:c r="A5" s="14" t="str">
        <x:v>COSTO-001</x:v>
      </x:c>
      <x:c r="B5" s="14" t="str">
        <x:v>NOMBRE REAL</x:v>
      </x:c>
      <x:c r="C5" s="14" t="str">
        <x:v>INDIRECT_COST</x:v>
      </x:c>
      <x:c r="D5" s="14" t="str">
        <x:v>MONTHLY</x:v>
      </x:c>
      <x:c r="E5" s="14" t="str"/>
      <x:c r="F5" s="14" t="str">
        <x:v>PENDIENTE</x:v>
      </x:c>
      <x:c r="G5" s="14" t="str">
        <x:v>SI</x:v>
      </x:c>
      <x:c r="H5" s="14" t="str">
        <x:v>PENDIENTE</x:v>
      </x:c>
    </x:row>
  </x:sheetData>
  <x:mergeCells>
    <x:mergeCell ref="A1:H1"/>
    <x:mergeCell ref="A2:H2"/>
  </x:mergeCells>
  <x:conditionalFormatting sqref="H5:H205">
    <x:cfRule type="containsText" dxfId="7" priority="1" operator="containsText" text="PENDIENTE"/>
  </x:conditionalFormatting>
  <x:dataValidations count="4">
    <x:dataValidation type="list" sqref="C5:C205">
      <x:formula1>"FIXED_EXPENSE,INDIRECT_COST,LABOR"</x:formula1>
    </x:dataValidation>
    <x:dataValidation type="list" sqref="D5:D205">
      <x:formula1>"MONTHLY,WEEKLY,PER_BATCH"</x:formula1>
    </x:dataValidation>
    <x:dataValidation type="list" sqref="G5:G205">
      <x:formula1>"SI,NO"</x:formula1>
    </x:dataValidation>
    <x:dataValidation type="list" sqref="H5:H205">
      <x:formula1>"COMPLETO,PENDIENTE"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f9bf29bea44c1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56" hidden="0" customWidth="1"/>
  </x:cols>
  <x:sheetData>
    <x:row r="1" ht="38" customHeight="1">
      <x:c r="A1" s="16" t="str">
        <x:v>LÚMINA OS · Carga inicial</x:v>
      </x:c>
    </x:row>
    <x:row r="3" ht="30" customHeight="1">
      <x:c r="A3" s="19" t="str">
        <x:v>Complete únicamente datos reales. No cambie los encabezados ni elimine columnas.</x:v>
      </x:c>
    </x:row>
    <x:row r="5">
      <x:c r="A5" s="20" t="str">
        <x:v>Paso</x:v>
      </x:c>
      <x:c r="B5" s="21" t="str">
        <x:v>Responsable</x:v>
      </x:c>
      <x:c r="C5" s="22" t="str">
        <x:v>Acción</x:v>
      </x:c>
    </x:row>
    <x:row r="6">
      <x:c r="A6" s="23" t="n">
        <x:v>1</x:v>
      </x:c>
      <x:c r="B6" s="24" t="str">
        <x:v>Administrador</x:v>
      </x:c>
      <x:c r="C6" s="25" t="str">
        <x:v>Completar Usuarios_Roles, Unidades y Categorias.</x:v>
      </x:c>
    </x:row>
    <x:row r="7">
      <x:c r="A7" s="23" t="n">
        <x:v>2</x:v>
      </x:c>
      <x:c r="B7" s="24" t="str">
        <x:v>Producción</x:v>
      </x:c>
      <x:c r="C7" s="25" t="str">
        <x:v>Completar Productos, Materiales y BOM.</x:v>
      </x:c>
    </x:row>
    <x:row r="8">
      <x:c r="A8" s="23" t="n">
        <x:v>3</x:v>
      </x:c>
      <x:c r="B8" s="24" t="str">
        <x:v>Inventario</x:v>
      </x:c>
      <x:c r="C8" s="25" t="str">
        <x:v>Realizar conteo físico y completar Inventario_Inicial.</x:v>
      </x:c>
    </x:row>
    <x:row r="9">
      <x:c r="A9" s="23" t="n">
        <x:v>4</x:v>
      </x:c>
      <x:c r="B9" s="24" t="str">
        <x:v>Finanzas</x:v>
      </x:c>
      <x:c r="C9" s="25" t="str">
        <x:v>Completar Cuentas_Saldos y Gastos_Costos.</x:v>
      </x:c>
    </x:row>
    <x:row r="10">
      <x:c r="A10" s="26" t="n">
        <x:v>5</x:v>
      </x:c>
      <x:c r="B10" s="27" t="str">
        <x:v>Administrador</x:v>
      </x:c>
      <x:c r="C10" s="28" t="str">
        <x:v>Revisar estado_dato y entregar el libro para importación.</x:v>
      </x:c>
    </x:row>
    <x:row r="12">
      <x:c r="A12" s="29" t="str">
        <x:v>Convención</x:v>
      </x:c>
      <x:c r="B12" s="29" t="str">
        <x:v>Significado</x:v>
      </x:c>
    </x:row>
    <x:row r="13">
      <x:c r="A13" t="str">
        <x:v>COMPLETO</x:v>
      </x:c>
      <x:c r="B13" t="str">
        <x:v>Fila lista para importar.</x:v>
      </x:c>
    </x:row>
    <x:row r="14">
      <x:c r="A14" t="str">
        <x:v>PENDIENTE</x:v>
      </x:c>
      <x:c r="B14" t="str">
        <x:v>Falta validar uno o más campos.</x:v>
      </x:c>
    </x:row>
    <x:row r="15">
      <x:c r="A15" t="str">
        <x:v>SI / NO</x:v>
      </x:c>
      <x:c r="B15" t="str">
        <x:v>Campo booleano.</x:v>
      </x:c>
    </x:row>
    <x:row r="16">
      <x:c r="A16" t="str">
        <x:v>Fechas</x:v>
      </x:c>
      <x:c r="B16" t="str">
        <x:v>Usar formato AAAA-MM-DD.</x:v>
      </x:c>
    </x:row>
  </x:sheetData>
  <x:mergeCells>
    <x:mergeCell ref="A1:F1"/>
    <x:mergeCell ref="A3:F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" hidden="0" customWidth="1"/>
    <x:col min="3" max="3" width="12.880000114440918" hidden="0" customWidth="1"/>
    <x:col min="4" max="4" width="6.880000114440918" hidden="0" customWidth="1"/>
  </x:cols>
  <x:sheetData>
    <x:row r="1" ht="34" customHeight="1">
      <x:c r="A1" s="2" t="str">
        <x:v>Control de completitud</x:v>
      </x:c>
    </x:row>
    <x:row r="3">
      <x:c r="A3" s="9" t="str">
        <x:v>Hoja</x:v>
      </x:c>
      <x:c r="B3" s="9" t="str">
        <x:v>Filas cargadas</x:v>
      </x:c>
      <x:c r="C3" s="9" t="str">
        <x:v>Filas pendientes</x:v>
      </x:c>
      <x:c r="D3" s="9" t="str">
        <x:v>Estado</x:v>
      </x:c>
    </x:row>
    <x:row r="4">
      <x:c r="A4" s="30" t="str">
        <x:v>Usuarios_Roles</x:v>
      </x:c>
      <x:c r="B4" s="31" t="n">
        <x:f>MAX(0,COUNTA('Usuarios_Roles'!A5:A205)-1)</x:f>
        <x:v>0</x:v>
      </x:c>
      <x:c r="C4" s="31" t="n">
        <x:f>0</x:f>
        <x:v>0</x:v>
      </x:c>
      <x:c r="D4" s="32" t="str">
        <x:f>IF(C4=0,"LISTO","REVISAR")</x:f>
        <x:v>LISTO</x:v>
      </x:c>
    </x:row>
    <x:row r="5">
      <x:c r="A5" s="30" t="str">
        <x:v>Unidades</x:v>
      </x:c>
      <x:c r="B5" s="31" t="n">
        <x:f>COUNTA('Unidades'!A5:A205)</x:f>
        <x:v>4</x:v>
      </x:c>
      <x:c r="C5" s="31" t="n">
        <x:f>0</x:f>
        <x:v>0</x:v>
      </x:c>
      <x:c r="D5" s="32" t="str">
        <x:f>IF(C5=0,"LISTO","REVISAR")</x:f>
        <x:v>LISTO</x:v>
      </x:c>
    </x:row>
    <x:row r="6">
      <x:c r="A6" s="30" t="str">
        <x:v>Categorias</x:v>
      </x:c>
      <x:c r="B6" s="31" t="n">
        <x:f>MAX(0,COUNTA('Categorias'!A5:A205)-1)</x:f>
        <x:v>0</x:v>
      </x:c>
      <x:c r="C6" s="31" t="n">
        <x:f>0</x:f>
        <x:v>0</x:v>
      </x:c>
      <x:c r="D6" s="32" t="str">
        <x:f>IF(C6=0,"LISTO","REVISAR")</x:f>
        <x:v>LISTO</x:v>
      </x:c>
    </x:row>
    <x:row r="7">
      <x:c r="A7" s="30" t="str">
        <x:v>Productos</x:v>
      </x:c>
      <x:c r="B7" s="31" t="n">
        <x:f>MAX(0,COUNTA('Productos'!A5:A205)-1)</x:f>
        <x:v>0</x:v>
      </x:c>
      <x:c r="C7" s="31" t="n">
        <x:f>COUNTIF('Productos'!H5:H205,"PENDIENTE")</x:f>
        <x:v>1</x:v>
      </x:c>
      <x:c r="D7" s="32" t="str">
        <x:f>IF(C7=0,"LISTO","REVISAR")</x:f>
        <x:v>REVISAR</x:v>
      </x:c>
    </x:row>
    <x:row r="8">
      <x:c r="A8" s="30" t="str">
        <x:v>Materiales</x:v>
      </x:c>
      <x:c r="B8" s="31" t="n">
        <x:f>COUNTA('Materiales'!A5:A205)</x:f>
        <x:v>16</x:v>
      </x:c>
      <x:c r="C8" s="31" t="n">
        <x:f>COUNTIF('Materiales'!G5:G205,"PENDIENTE")</x:f>
        <x:v>1</x:v>
      </x:c>
      <x:c r="D8" s="32" t="str">
        <x:f>IF(C8=0,"LISTO","REVISAR")</x:f>
        <x:v>REVISAR</x:v>
      </x:c>
    </x:row>
    <x:row r="9">
      <x:c r="A9" s="30" t="str">
        <x:v>Proveedores</x:v>
      </x:c>
      <x:c r="B9" s="31" t="n">
        <x:f>COUNTA('Proveedores'!A5:A205)</x:f>
        <x:v>4</x:v>
      </x:c>
      <x:c r="C9" s="31" t="n">
        <x:f>COUNTIF('Proveedores'!G5:G205,"PENDIENTE")</x:f>
        <x:v>4</x:v>
      </x:c>
      <x:c r="D9" s="32" t="str">
        <x:f>IF(C9=0,"LISTO","REVISAR")</x:f>
        <x:v>REVISAR</x:v>
      </x:c>
    </x:row>
    <x:row r="10">
      <x:c r="A10" s="30" t="str">
        <x:v>Clientes</x:v>
      </x:c>
      <x:c r="B10" s="31" t="n">
        <x:f>MAX(0,COUNTA('Clientes'!A5:A205)-1)</x:f>
        <x:v>0</x:v>
      </x:c>
      <x:c r="C10" s="31" t="n">
        <x:f>COUNTIF('Clientes'!H5:H205,"PENDIENTE")</x:f>
        <x:v>1</x:v>
      </x:c>
      <x:c r="D10" s="32" t="str">
        <x:f>IF(C10=0,"LISTO","REVISAR")</x:f>
        <x:v>REVISAR</x:v>
      </x:c>
    </x:row>
    <x:row r="11">
      <x:c r="A11" s="30" t="str">
        <x:v>BOM</x:v>
      </x:c>
      <x:c r="B11" s="31" t="n">
        <x:f>MAX(0,COUNTA('BOM'!A5:A205)-1)</x:f>
        <x:v>0</x:v>
      </x:c>
      <x:c r="C11" s="31" t="n">
        <x:f>COUNTIF('BOM'!I5:I205,"PENDIENTE")</x:f>
        <x:v>1</x:v>
      </x:c>
      <x:c r="D11" s="32" t="str">
        <x:f>IF(C11=0,"LISTO","REVISAR")</x:f>
        <x:v>REVISAR</x:v>
      </x:c>
    </x:row>
    <x:row r="12">
      <x:c r="A12" s="30" t="str">
        <x:v>Inventario_Inicial</x:v>
      </x:c>
      <x:c r="B12" s="31" t="n">
        <x:f>MAX(0,COUNTA('Inventario_Inicial'!A5:A205)-1)</x:f>
        <x:v>0</x:v>
      </x:c>
      <x:c r="C12" s="31" t="n">
        <x:f>COUNTIF('Inventario_Inicial'!I5:I205,"PENDIENTE")</x:f>
        <x:v>1</x:v>
      </x:c>
      <x:c r="D12" s="32" t="str">
        <x:f>IF(C12=0,"LISTO","REVISAR")</x:f>
        <x:v>REVISAR</x:v>
      </x:c>
    </x:row>
    <x:row r="13">
      <x:c r="A13" s="30" t="str">
        <x:v>Cuentas_Saldos</x:v>
      </x:c>
      <x:c r="B13" s="31" t="n">
        <x:f>MAX(0,COUNTA('Cuentas_Saldos'!A5:A205)-1)</x:f>
        <x:v>0</x:v>
      </x:c>
      <x:c r="C13" s="31" t="n">
        <x:f>COUNTIF('Cuentas_Saldos'!G5:G205,"PENDIENTE")</x:f>
        <x:v>1</x:v>
      </x:c>
      <x:c r="D13" s="32" t="str">
        <x:f>IF(C13=0,"LISTO","REVISAR")</x:f>
        <x:v>REVISAR</x:v>
      </x:c>
    </x:row>
    <x:row r="14">
      <x:c r="A14" s="30" t="str">
        <x:v>Gastos_Costos</x:v>
      </x:c>
      <x:c r="B14" s="31" t="n">
        <x:f>MAX(0,COUNTA('Gastos_Costos'!A5:A205)-1)</x:f>
        <x:v>0</x:v>
      </x:c>
      <x:c r="C14" s="31" t="n">
        <x:f>COUNTIF('Gastos_Costos'!H5:H205,"PENDIENTE")</x:f>
        <x:v>1</x:v>
      </x:c>
      <x:c r="D14" s="32" t="str">
        <x:f>IF(C14=0,"LISTO","REVISAR")</x:f>
        <x:v>REVISAR</x:v>
      </x:c>
    </x:row>
    <x:row r="15">
      <x:c r="A15" s="59" t="str">
        <x:v>Compras</x:v>
      </x:c>
      <x:c r="B15" s="59" t="n">
        <x:f>MAX(0,COUNTA('Compras'!B5:B205))</x:f>
        <x:v>16</x:v>
      </x:c>
      <x:c r="C15" s="59" t="n">
        <x:f>COUNTIF('Compras'!J5:J205,"PENDIENTE")+COUNTIF('Compras'!J5:J205,"REVISAR")</x:f>
        <x:v>4</x:v>
      </x:c>
      <x:c r="D15" s="59" t="str">
        <x:f>IF(C15=0,"LISTO","REVISAR")</x:f>
        <x:v>REVISAR</x:v>
      </x:c>
    </x:row>
  </x:sheetData>
  <x:mergeCells>
    <x:mergeCell ref="A1:D1"/>
  </x:mergeCells>
  <x:conditionalFormatting sqref="D4:D14">
    <x:cfRule type="containsText" dxfId="8" priority="1" operator="containsText" text="REVISAR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1F4B3C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9.130000114440918" hidden="0" customWidth="1"/>
    <x:col min="2" max="2" width="21" hidden="0" customWidth="1"/>
    <x:col min="3" max="3" width="20" hidden="0" customWidth="1"/>
    <x:col min="4" max="4" width="27" hidden="0" customWidth="1"/>
    <x:col min="5" max="5" width="34" hidden="0" customWidth="1"/>
    <x:col min="6" max="6" width="7.130000114440918" hidden="0" customWidth="1"/>
    <x:col min="7" max="7" width="5.880000114440918" hidden="0" customWidth="1"/>
    <x:col min="8" max="8" width="15.880000114440918" hidden="0" customWidth="1"/>
    <x:col min="9" max="9" width="12.380000114440918" hidden="0" customWidth="1"/>
    <x:col min="10" max="10" width="11" hidden="0" customWidth="1"/>
    <x:col min="11" max="11" width="42" hidden="0" customWidth="1"/>
    <x:col min="13" max="13" width="21" hidden="0" customWidth="1"/>
    <x:col min="14" max="14" width="9.130000114440918" hidden="0" customWidth="1"/>
    <x:col min="15" max="15" width="24" hidden="0" customWidth="1"/>
    <x:col min="16" max="16" width="14.880000114440918" hidden="0" customWidth="1"/>
    <x:col min="17" max="17" width="15.75" hidden="0" customWidth="1"/>
    <x:col min="18" max="18" width="8.130000114440918" hidden="0" customWidth="1"/>
    <x:col min="19" max="19" width="7.630000114440918" hidden="0" customWidth="1"/>
    <x:col min="20" max="20" width="12" hidden="0" customWidth="1"/>
    <x:col min="21" max="21" width="11" hidden="0" customWidth="1"/>
    <x:col min="22" max="22" width="48" hidden="0" customWidth="1"/>
  </x:cols>
  <x:sheetData>
    <x:row r="1" ht="30" customHeight="1">
      <x:c r="A1" s="40" t="str">
        <x:v>LÚMINA · Compras registradas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</x:row>
    <x:row r="2">
      <x:c r="A2" s="42" t="str">
        <x:v>Valores en COP. Los campos pendientes se dejaron en blanco y están explicados en observaciones.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</x:row>
    <x:row r="4">
      <x:c r="A4" s="47" t="str">
        <x:v>fecha</x:v>
      </x:c>
      <x:c r="B4" s="47" t="str">
        <x:v>compra</x:v>
      </x:c>
      <x:c r="C4" s="47" t="str">
        <x:v>proveedor_codigo</x:v>
      </x:c>
      <x:c r="D4" s="47" t="str">
        <x:v>sku_material</x:v>
      </x:c>
      <x:c r="E4" s="47" t="str">
        <x:v>articulo</x:v>
      </x:c>
      <x:c r="F4" s="47" t="str">
        <x:v>cantidad</x:v>
      </x:c>
      <x:c r="G4" s="47" t="str">
        <x:v>unidad</x:v>
      </x:c>
      <x:c r="H4" s="47" t="str">
        <x:v>precio_unitario_cop</x:v>
      </x:c>
      <x:c r="I4" s="47" t="str">
        <x:v>total_linea_cop</x:v>
      </x:c>
      <x:c r="J4" s="47" t="str">
        <x:v>estado_dato</x:v>
      </x:c>
      <x:c r="K4" s="47" t="str">
        <x:v>observaciones</x:v>
      </x:c>
      <x:c r="M4" s="47" t="str">
        <x:v>compra</x:v>
      </x:c>
      <x:c r="N4" s="47" t="str">
        <x:v>fecha</x:v>
      </x:c>
      <x:c r="O4" s="47" t="str">
        <x:v>proveedor</x:v>
      </x:c>
      <x:c r="P4" s="47" t="str">
        <x:v>subtotal_calculado</x:v>
      </x:c>
      <x:c r="Q4" s="47" t="str">
        <x:v>subtotal_informado</x:v>
      </x:c>
      <x:c r="R4" s="47" t="str">
        <x:v>diferencia</x:v>
      </x:c>
      <x:c r="S4" s="47" t="str">
        <x:v>domicilio</x:v>
      </x:c>
      <x:c r="T4" s="47" t="str">
        <x:v>total_conocido</x:v>
      </x:c>
      <x:c r="U4" s="47" t="str">
        <x:v>estado</x:v>
      </x:c>
      <x:c r="V4" s="47" t="str">
        <x:v>observaciones</x:v>
      </x:c>
    </x:row>
    <x:row r="5">
      <x:c r="A5" s="50" t="n">
        <x:v>46268.5</x:v>
      </x:c>
      <x:c r="B5" s="36" t="str">
        <x:v>COMP-20260903-NAT</x:v>
      </x:c>
      <x:c r="C5" s="36" t="str">
        <x:v>NATURCHEM</x:v>
      </x:c>
      <x:c r="D5" s="36" t="str">
        <x:v>MECHA</x:v>
      </x:c>
      <x:c r="E5" s="56" t="str">
        <x:v>Mecha</x:v>
      </x:c>
      <x:c r="F5" s="51" t="n">
        <x:v>5</x:v>
      </x:c>
      <x:c r="G5" s="36" t="str">
        <x:v>M</x:v>
      </x:c>
      <x:c r="H5" s="52" t="n">
        <x:f>IFERROR(I5/F5,"")</x:f>
        <x:v>2200</x:v>
      </x:c>
      <x:c r="I5" s="52" t="n">
        <x:v>11000</x:v>
      </x:c>
      <x:c r="J5" s="36" t="str">
        <x:v>COMPLETO</x:v>
      </x:c>
      <x:c r="K5" s="56" t="str">
        <x:v>Naturchem · Barranquilla</x:v>
      </x:c>
      <x:c r="M5" s="36" t="str">
        <x:v>COMP-20260903-NAT</x:v>
      </x:c>
      <x:c r="N5" s="50" t="n">
        <x:v>46268.5</x:v>
      </x:c>
      <x:c r="O5" s="36" t="str">
        <x:v>Naturchem</x:v>
      </x:c>
      <x:c r="P5" s="53" t="n">
        <x:f>SUMIF($B$5:$B$20,M5,$I$5:$I$20)</x:f>
        <x:v>493000</x:v>
      </x:c>
      <x:c r="Q5" s="53" t="n">
        <x:v>479000</x:v>
      </x:c>
      <x:c r="R5" s="53" t="n">
        <x:f>P5-Q5</x:f>
        <x:v>14000</x:v>
      </x:c>
      <x:c r="S5" s="53" t="n">
        <x:v>10000</x:v>
      </x:c>
      <x:c r="T5" s="53" t="n">
        <x:f>IF(Q5="","",IF(S5="",Q5,Q5+S5))</x:f>
        <x:v>489000</x:v>
      </x:c>
      <x:c r="U5" s="36" t="str">
        <x:v>REVISAR</x:v>
      </x:c>
      <x:c r="V5" s="56" t="str">
        <x:v>Las líneas suman $493.000, pero el subtotal informado fue $479.000.</x:v>
      </x:c>
    </x:row>
    <x:row r="6">
      <x:c r="A6" s="50" t="n">
        <x:v>46268.5</x:v>
      </x:c>
      <x:c r="B6" s="36" t="str">
        <x:v>COMP-20260903-NAT</x:v>
      </x:c>
      <x:c r="C6" s="36" t="str">
        <x:v>NATURCHEM</x:v>
      </x:c>
      <x:c r="D6" s="36" t="str">
        <x:v>PORTA-MECHA</x:v>
      </x:c>
      <x:c r="E6" s="56" t="str">
        <x:v>Porta mecha</x:v>
      </x:c>
      <x:c r="F6" s="51" t="n">
        <x:v>50</x:v>
      </x:c>
      <x:c r="G6" s="36" t="str">
        <x:v>UND</x:v>
      </x:c>
      <x:c r="H6" s="52" t="n">
        <x:f>IFERROR(I6/F6,"")</x:f>
        <x:v>150</x:v>
      </x:c>
      <x:c r="I6" s="52" t="n">
        <x:v>7500</x:v>
      </x:c>
      <x:c r="J6" s="36" t="str">
        <x:v>COMPLETO</x:v>
      </x:c>
      <x:c r="K6" s="56"/>
      <x:c r="M6" s="36" t="str">
        <x:v>COMP-20260903-CEN</x:v>
      </x:c>
      <x:c r="N6" s="50" t="n">
        <x:v>46268.5</x:v>
      </x:c>
      <x:c r="O6" s="36" t="str">
        <x:v>CentroEnvases la 14</x:v>
      </x:c>
      <x:c r="P6" s="53" t="n">
        <x:f>SUMIF($B$5:$B$20,M6,$I$5:$I$20)</x:f>
        <x:v>215600</x:v>
      </x:c>
      <x:c r="Q6" s="53" t="n">
        <x:v>215600</x:v>
      </x:c>
      <x:c r="R6" s="53" t="n">
        <x:f>P6-Q6</x:f>
        <x:v>0</x:v>
      </x:c>
      <x:c r="S6" s="53"/>
      <x:c r="T6" s="53" t="n">
        <x:f>IF(Q6="","",IF(S6="",Q6,Q6+S6))</x:f>
        <x:v>215600</x:v>
      </x:c>
      <x:c r="U6" s="36" t="str">
        <x:v>PENDIENTE</x:v>
      </x:c>
      <x:c r="V6" s="56" t="str">
        <x:v>Falta el valor del envío contraentrega por Interrapidísimo.</x:v>
      </x:c>
    </x:row>
    <x:row r="7">
      <x:c r="A7" s="50" t="n">
        <x:v>46268.5</x:v>
      </x:c>
      <x:c r="B7" s="36" t="str">
        <x:v>COMP-20260903-NAT</x:v>
      </x:c>
      <x:c r="C7" s="36" t="str">
        <x:v>NATURCHEM</x:v>
      </x:c>
      <x:c r="D7" s="36" t="str">
        <x:v>FRAG-FRESA-CHOC</x:v>
      </x:c>
      <x:c r="E7" s="56" t="str">
        <x:v>Fragancia Fresas con chocolate</x:v>
      </x:c>
      <x:c r="F7" s="51" t="n">
        <x:v>500</x:v>
      </x:c>
      <x:c r="G7" s="36" t="str">
        <x:v>G</x:v>
      </x:c>
      <x:c r="H7" s="52" t="n">
        <x:f>IFERROR(I7/F7,"")</x:f>
        <x:v>160</x:v>
      </x:c>
      <x:c r="I7" s="52" t="n">
        <x:v>80000</x:v>
      </x:c>
      <x:c r="J7" s="36" t="str">
        <x:v>COMPLETO</x:v>
      </x:c>
      <x:c r="K7" s="56"/>
      <x:c r="M7" s="36" t="str">
        <x:v>COMP-20260903-STI</x:v>
      </x:c>
      <x:c r="N7" s="50" t="n">
        <x:v>46268.5</x:v>
      </x:c>
      <x:c r="O7" s="36" t="str">
        <x:v>Stickers Impacto Digital</x:v>
      </x:c>
      <x:c r="P7" s="53" t="n">
        <x:f>SUMIF($B$5:$B$20,M7,$I$5:$I$20)</x:f>
        <x:v>84000</x:v>
      </x:c>
      <x:c r="Q7" s="53" t="n">
        <x:v>84000</x:v>
      </x:c>
      <x:c r="R7" s="53" t="n">
        <x:f>P7-Q7</x:f>
        <x:v>0</x:v>
      </x:c>
      <x:c r="S7" s="53" t="n">
        <x:v>15000</x:v>
      </x:c>
      <x:c r="T7" s="53" t="n">
        <x:f>IF(Q7="","",IF(S7="",Q7,Q7+S7))</x:f>
        <x:v>99000</x:v>
      </x:c>
      <x:c r="U7" s="36" t="str">
        <x:v>COMPLETO</x:v>
      </x:c>
      <x:c r="V7" s="56" t="str">
        <x:v>Domicilio informado por separado.</x:v>
      </x:c>
    </x:row>
    <x:row r="8">
      <x:c r="A8" s="50" t="n">
        <x:v>46268.5</x:v>
      </x:c>
      <x:c r="B8" s="36" t="str">
        <x:v>COMP-20260903-NAT</x:v>
      </x:c>
      <x:c r="C8" s="36" t="str">
        <x:v>NATURCHEM</x:v>
      </x:c>
      <x:c r="D8" s="36" t="str">
        <x:v>FRAG-ALMENDRA-MACADAMIA</x:v>
      </x:c>
      <x:c r="E8" s="56" t="str">
        <x:v>Fragancia Almendra y macadamia</x:v>
      </x:c>
      <x:c r="F8" s="51" t="n">
        <x:v>250</x:v>
      </x:c>
      <x:c r="G8" s="36" t="str">
        <x:v>G</x:v>
      </x:c>
      <x:c r="H8" s="52" t="n">
        <x:f>IFERROR(I8/F8,"")</x:f>
        <x:v>188</x:v>
      </x:c>
      <x:c r="I8" s="52" t="n">
        <x:v>47000</x:v>
      </x:c>
      <x:c r="J8" s="36" t="str">
        <x:v>COMPLETO</x:v>
      </x:c>
      <x:c r="K8" s="56"/>
      <x:c r="M8" s="36" t="str">
        <x:v>COMP-PEND-EMP</x:v>
      </x:c>
      <x:c r="N8" s="50"/>
      <x:c r="O8" s="36" t="str">
        <x:v>Empaquetate</x:v>
      </x:c>
      <x:c r="P8" s="53" t="n">
        <x:f>SUMIF($B$5:$B$20,M8,$I$5:$I$20)</x:f>
        <x:v>158400</x:v>
      </x:c>
      <x:c r="Q8" s="53" t="n">
        <x:v>158400</x:v>
      </x:c>
      <x:c r="R8" s="53" t="n">
        <x:f>P8-Q8</x:f>
        <x:v>0</x:v>
      </x:c>
      <x:c r="S8" s="53" t="n">
        <x:v>12000</x:v>
      </x:c>
      <x:c r="T8" s="53" t="n">
        <x:f>IF(Q8="","",IF(S8="",Q8,Q8+S8))</x:f>
        <x:v>170400</x:v>
      </x:c>
      <x:c r="U8" s="36" t="str">
        <x:v>PENDIENTE</x:v>
      </x:c>
      <x:c r="V8" s="56" t="str">
        <x:v>Falta confirmar la fecha de compra y la unidad/cantidad del papel picado.</x:v>
      </x:c>
    </x:row>
    <x:row r="9">
      <x:c r="A9" s="50" t="n">
        <x:v>46268.5</x:v>
      </x:c>
      <x:c r="B9" s="36" t="str">
        <x:v>COMP-20260903-NAT</x:v>
      </x:c>
      <x:c r="C9" s="36" t="str">
        <x:v>NATURCHEM</x:v>
      </x:c>
      <x:c r="D9" s="36" t="str">
        <x:v>FRAG-PINO</x:v>
      </x:c>
      <x:c r="E9" s="56" t="str">
        <x:v>Fragancia Pino</x:v>
      </x:c>
      <x:c r="F9" s="51" t="n">
        <x:v>250</x:v>
      </x:c>
      <x:c r="G9" s="36" t="str">
        <x:v>G</x:v>
      </x:c>
      <x:c r="H9" s="52" t="n">
        <x:f>IFERROR(I9/F9,"")</x:f>
        <x:v>188</x:v>
      </x:c>
      <x:c r="I9" s="52" t="n">
        <x:v>47000</x:v>
      </x:c>
      <x:c r="J9" s="36" t="str">
        <x:v>COMPLETO</x:v>
      </x:c>
      <x:c r="K9" s="56"/>
      <x:c r="P9" s="54"/>
      <x:c r="Q9" s="54"/>
      <x:c r="R9" s="54"/>
      <x:c r="S9" s="54"/>
      <x:c r="T9" s="54"/>
      <x:c r="V9" s="57"/>
    </x:row>
    <x:row r="10">
      <x:c r="A10" s="50" t="n">
        <x:v>46268.5</x:v>
      </x:c>
      <x:c r="B10" s="36" t="str">
        <x:v>COMP-20260903-NAT</x:v>
      </x:c>
      <x:c r="C10" s="36" t="str">
        <x:v>NATURCHEM</x:v>
      </x:c>
      <x:c r="D10" s="36" t="str">
        <x:v>FRAG-CREMA-WHISKEY</x:v>
      </x:c>
      <x:c r="E10" s="56" t="str">
        <x:v>Fragancia Crema de whiskey</x:v>
      </x:c>
      <x:c r="F10" s="51" t="n">
        <x:v>250</x:v>
      </x:c>
      <x:c r="G10" s="36" t="str">
        <x:v>G</x:v>
      </x:c>
      <x:c r="H10" s="52" t="n">
        <x:f>IFERROR(I10/F10,"")</x:f>
        <x:v>188</x:v>
      </x:c>
      <x:c r="I10" s="52" t="n">
        <x:v>47000</x:v>
      </x:c>
      <x:c r="J10" s="36" t="str">
        <x:v>COMPLETO</x:v>
      </x:c>
      <x:c r="K10" s="56"/>
      <x:c r="M10" s="49" t="str">
        <x:v>TOTAL CONOCIDO</x:v>
      </x:c>
      <x:c r="N10" s="49"/>
      <x:c r="O10" s="49"/>
      <x:c r="P10" s="55" t="n">
        <x:f>SUM(P5:P8)</x:f>
        <x:v>951000</x:v>
      </x:c>
      <x:c r="Q10" s="55" t="n">
        <x:f>SUM(Q5:Q8)</x:f>
        <x:v>937000</x:v>
      </x:c>
      <x:c r="R10" s="55" t="n">
        <x:f>SUM(R5:R8)</x:f>
        <x:v>14000</x:v>
      </x:c>
      <x:c r="S10" s="55" t="n">
        <x:f>SUM(S5:S8)</x:f>
        <x:v>37000</x:v>
      </x:c>
      <x:c r="T10" s="55" t="n">
        <x:f>SUM(T5:T8)</x:f>
        <x:v>974000</x:v>
      </x:c>
      <x:c r="U10" s="49"/>
      <x:c r="V10" s="58" t="str">
        <x:v>No incluye el envío pendiente de CentroEnvases.</x:v>
      </x:c>
    </x:row>
    <x:row r="11">
      <x:c r="A11" s="50" t="n">
        <x:v>46268.5</x:v>
      </x:c>
      <x:c r="B11" s="36" t="str">
        <x:v>COMP-20260903-NAT</x:v>
      </x:c>
      <x:c r="C11" s="36" t="str">
        <x:v>NATURCHEM</x:v>
      </x:c>
      <x:c r="D11" s="36" t="str">
        <x:v>FRAG-MAGICA-NAVIDAD</x:v>
      </x:c>
      <x:c r="E11" s="56" t="str">
        <x:v>Fragancia Mágica navidad</x:v>
      </x:c>
      <x:c r="F11" s="51" t="n">
        <x:v>250</x:v>
      </x:c>
      <x:c r="G11" s="36" t="str">
        <x:v>G</x:v>
      </x:c>
      <x:c r="H11" s="52" t="n">
        <x:f>IFERROR(I11/F11,"")</x:f>
        <x:v>188</x:v>
      </x:c>
      <x:c r="I11" s="52" t="n">
        <x:v>47000</x:v>
      </x:c>
      <x:c r="J11" s="36" t="str">
        <x:v>COMPLETO</x:v>
      </x:c>
      <x:c r="K11" s="56"/>
    </x:row>
    <x:row r="12">
      <x:c r="A12" s="50" t="n">
        <x:v>46268.5</x:v>
      </x:c>
      <x:c r="B12" s="36" t="str">
        <x:v>COMP-20260903-NAT</x:v>
      </x:c>
      <x:c r="C12" s="36" t="str">
        <x:v>NATURCHEM</x:v>
      </x:c>
      <x:c r="D12" s="36" t="str">
        <x:v>FIJADOR-AROMAS</x:v>
      </x:c>
      <x:c r="E12" s="56" t="str">
        <x:v>Fijador de aromas</x:v>
      </x:c>
      <x:c r="F12" s="51" t="n">
        <x:v>50</x:v>
      </x:c>
      <x:c r="G12" s="36" t="str">
        <x:v>G</x:v>
      </x:c>
      <x:c r="H12" s="52" t="n">
        <x:f>IFERROR(I12/F12,"")</x:f>
        <x:v>130</x:v>
      </x:c>
      <x:c r="I12" s="52" t="n">
        <x:v>6500</x:v>
      </x:c>
      <x:c r="J12" s="36" t="str">
        <x:v>COMPLETO</x:v>
      </x:c>
      <x:c r="K12" s="56"/>
    </x:row>
    <x:row r="13">
      <x:c r="A13" s="50" t="n">
        <x:v>46268.5</x:v>
      </x:c>
      <x:c r="B13" s="36" t="str">
        <x:v>COMP-20260903-NAT</x:v>
      </x:c>
      <x:c r="C13" s="36" t="str">
        <x:v>NATURCHEM</x:v>
      </x:c>
      <x:c r="D13" s="36" t="str">
        <x:v>CERA-VASO</x:v>
      </x:c>
      <x:c r="E13" s="56" t="str">
        <x:v>Cera para vaso</x:v>
      </x:c>
      <x:c r="F13" s="51" t="n">
        <x:v>10</x:v>
      </x:c>
      <x:c r="G13" s="36" t="str">
        <x:v>KG</x:v>
      </x:c>
      <x:c r="H13" s="52" t="n">
        <x:f>IFERROR(I13/F13,"")</x:f>
        <x:v>20000</x:v>
      </x:c>
      <x:c r="I13" s="52" t="n">
        <x:v>200000</x:v>
      </x:c>
      <x:c r="J13" s="36" t="str">
        <x:v>COMPLETO</x:v>
      </x:c>
      <x:c r="K13" s="56"/>
    </x:row>
    <x:row r="14">
      <x:c r="A14" s="50" t="n">
        <x:v>46268.5</x:v>
      </x:c>
      <x:c r="B14" s="36" t="str">
        <x:v>COMP-20260903-CEN</x:v>
      </x:c>
      <x:c r="C14" s="36" t="str">
        <x:v>CENTROENVASES14</x:v>
      </x:c>
      <x:c r="D14" s="36" t="str">
        <x:v>ENVASE-AMBAR-240-TAPA-NEGRA</x:v>
      </x:c>
      <x:c r="E14" s="56" t="str">
        <x:v>Envase vidrio ámbar 240 ml con tapa negra</x:v>
      </x:c>
      <x:c r="F14" s="51" t="n">
        <x:v>50</x:v>
      </x:c>
      <x:c r="G14" s="36" t="str">
        <x:v>UND</x:v>
      </x:c>
      <x:c r="H14" s="52" t="n">
        <x:v>4312</x:v>
      </x:c>
      <x:c r="I14" s="52" t="n">
        <x:f>IFERROR(F14*H14,"")</x:f>
        <x:v>215600</x:v>
      </x:c>
      <x:c r="J14" s="36" t="str">
        <x:v>COMPLETO</x:v>
      </x:c>
      <x:c r="K14" s="56" t="str">
        <x:v>Bogotá · envío por Interrapidísimo contraentrega</x:v>
      </x:c>
    </x:row>
    <x:row r="15">
      <x:c r="A15" s="50" t="n">
        <x:v>46268.5</x:v>
      </x:c>
      <x:c r="B15" s="36" t="str">
        <x:v>COMP-20260903-STI</x:v>
      </x:c>
      <x:c r="C15" s="36" t="str">
        <x:v>STICKERS-IMPACTO</x:v>
      </x:c>
      <x:c r="D15" s="36" t="str">
        <x:v>STICKER-REDONDO-3X3</x:v>
      </x:c>
      <x:c r="E15" s="56" t="str">
        <x:v>Sticker redondo 3x3</x:v>
      </x:c>
      <x:c r="F15" s="51" t="n">
        <x:v>600</x:v>
      </x:c>
      <x:c r="G15" s="36" t="str">
        <x:v>UND</x:v>
      </x:c>
      <x:c r="H15" s="52" t="n">
        <x:f>IFERROR(I15/F15,"")</x:f>
        <x:v>70</x:v>
      </x:c>
      <x:c r="I15" s="52" t="n">
        <x:v>42000</x:v>
      </x:c>
      <x:c r="J15" s="36" t="str">
        <x:v>COMPLETO</x:v>
      </x:c>
      <x:c r="K15" s="56" t="str">
        <x:v>Barranquilla</x:v>
      </x:c>
    </x:row>
    <x:row r="16">
      <x:c r="A16" s="50" t="n">
        <x:v>46268.5</x:v>
      </x:c>
      <x:c r="B16" s="36" t="str">
        <x:v>COMP-20260903-STI</x:v>
      </x:c>
      <x:c r="C16" s="36" t="str">
        <x:v>STICKERS-IMPACTO</x:v>
      </x:c>
      <x:c r="D16" s="36" t="str">
        <x:v>STICKER-CUADRADO-6X6</x:v>
      </x:c>
      <x:c r="E16" s="56" t="str">
        <x:v>Sticker cuadrado 6x6</x:v>
      </x:c>
      <x:c r="F16" s="51" t="n">
        <x:v>220</x:v>
      </x:c>
      <x:c r="G16" s="36" t="str">
        <x:v>UND</x:v>
      </x:c>
      <x:c r="H16" s="52" t="n">
        <x:f>IFERROR(I16/F16,"")</x:f>
        <x:v>190.9090909090909</x:v>
      </x:c>
      <x:c r="I16" s="52" t="n">
        <x:v>42000</x:v>
      </x:c>
      <x:c r="J16" s="36" t="str">
        <x:v>COMPLETO</x:v>
      </x:c>
      <x:c r="K16" s="56"/>
    </x:row>
    <x:row r="17">
      <x:c r="A17" s="50"/>
      <x:c r="B17" s="36" t="str">
        <x:v>COMP-PEND-EMP</x:v>
      </x:c>
      <x:c r="C17" s="36" t="str">
        <x:v>EMPAQUETATE</x:v>
      </x:c>
      <x:c r="D17" s="36" t="str">
        <x:v>CAJA-12X12X9</x:v>
      </x:c>
      <x:c r="E17" s="56" t="str">
        <x:v>Caja 12x12x9</x:v>
      </x:c>
      <x:c r="F17" s="51" t="n">
        <x:v>24</x:v>
      </x:c>
      <x:c r="G17" s="36" t="str">
        <x:v>UND</x:v>
      </x:c>
      <x:c r="H17" s="52" t="n">
        <x:v>3100</x:v>
      </x:c>
      <x:c r="I17" s="52" t="n">
        <x:f>IFERROR(F17*H17,"")</x:f>
        <x:v>74400</x:v>
      </x:c>
      <x:c r="J17" s="36" t="str">
        <x:v>PENDIENTE</x:v>
      </x:c>
      <x:c r="K17" s="56" t="str">
        <x:v>Fecha de compra no indicada · Barranquilla</x:v>
      </x:c>
    </x:row>
    <x:row r="18">
      <x:c r="A18" s="50"/>
      <x:c r="B18" s="36" t="str">
        <x:v>COMP-PEND-EMP</x:v>
      </x:c>
      <x:c r="C18" s="36" t="str">
        <x:v>EMPAQUETATE</x:v>
      </x:c>
      <x:c r="D18" s="36" t="str">
        <x:v>BOLSA-YUTE-MARRON</x:v>
      </x:c>
      <x:c r="E18" s="56" t="str">
        <x:v>Bolsa de yute marrón</x:v>
      </x:c>
      <x:c r="F18" s="51" t="n">
        <x:v>24</x:v>
      </x:c>
      <x:c r="G18" s="36" t="str">
        <x:v>UND</x:v>
      </x:c>
      <x:c r="H18" s="52" t="n">
        <x:v>800</x:v>
      </x:c>
      <x:c r="I18" s="52" t="n">
        <x:f>IFERROR(F18*H18,"")</x:f>
        <x:v>19200</x:v>
      </x:c>
      <x:c r="J18" s="36" t="str">
        <x:v>PENDIENTE</x:v>
      </x:c>
      <x:c r="K18" s="56" t="str">
        <x:v>Fecha de compra no indicada</x:v>
      </x:c>
    </x:row>
    <x:row r="19">
      <x:c r="A19" s="50"/>
      <x:c r="B19" s="36" t="str">
        <x:v>COMP-PEND-EMP</x:v>
      </x:c>
      <x:c r="C19" s="36" t="str">
        <x:v>EMPAQUETATE</x:v>
      </x:c>
      <x:c r="D19" s="36" t="str">
        <x:v>FRASCO-FOSFORO-CORCHO</x:v>
      </x:c>
      <x:c r="E19" s="56" t="str">
        <x:v>Frasco para fósforo con corcho</x:v>
      </x:c>
      <x:c r="F19" s="51" t="n">
        <x:v>24</x:v>
      </x:c>
      <x:c r="G19" s="36" t="str">
        <x:v>UND</x:v>
      </x:c>
      <x:c r="H19" s="52" t="n">
        <x:v>1200</x:v>
      </x:c>
      <x:c r="I19" s="52" t="n">
        <x:f>IFERROR(F19*H19,"")</x:f>
        <x:v>28800</x:v>
      </x:c>
      <x:c r="J19" s="36" t="str">
        <x:v>PENDIENTE</x:v>
      </x:c>
      <x:c r="K19" s="56" t="str">
        <x:v>Fecha de compra no indicada</x:v>
      </x:c>
    </x:row>
    <x:row r="20">
      <x:c r="A20" s="50"/>
      <x:c r="B20" s="36" t="str">
        <x:v>COMP-PEND-EMP</x:v>
      </x:c>
      <x:c r="C20" s="36" t="str">
        <x:v>EMPAQUETATE</x:v>
      </x:c>
      <x:c r="D20" s="36" t="str">
        <x:v>PAPEL-PICADO</x:v>
      </x:c>
      <x:c r="E20" s="56" t="str">
        <x:v>Papel picado</x:v>
      </x:c>
      <x:c r="F20" s="51"/>
      <x:c r="G20" s="36"/>
      <x:c r="H20" s="52"/>
      <x:c r="I20" s="52" t="n">
        <x:v>36000</x:v>
      </x:c>
      <x:c r="J20" s="36" t="str">
        <x:v>PENDIENTE</x:v>
      </x:c>
      <x:c r="K20" s="56" t="str">
        <x:v>Faltan fecha, cantidad y unidad; sólo se informó el total</x:v>
      </x:c>
    </x:row>
  </x:sheetData>
  <x:mergeCells>
    <x:mergeCell ref="A1:K1"/>
    <x:mergeCell ref="A2:K2"/>
  </x:mergeCells>
  <x:conditionalFormatting sqref="J5:J20">
    <x:cfRule type="cellIs" dxfId="15" priority="1" operator="equal">
      <x:formula>"PENDIENTE"</x:formula>
    </x:cfRule>
    <x:cfRule type="cellIs" dxfId="16" priority="2" operator="equal">
      <x:formula>"REVISAR"</x:formula>
    </x:cfRule>
    <x:cfRule type="cellIs" dxfId="17" priority="3" operator="equal">
      <x:formula>"COMPLETO"</x:formula>
    </x:cfRule>
  </x:conditionalFormatting>
  <x:conditionalFormatting sqref="U5:U8">
    <x:cfRule type="cellIs" dxfId="18" priority="4" operator="equal">
      <x:formula>"PENDIENTE"</x:formula>
    </x:cfRule>
    <x:cfRule type="cellIs" dxfId="19" priority="5" operator="equal">
      <x:formula>"REVISAR"</x:formula>
    </x:cfRule>
    <x:cfRule type="cellIs" dxfId="20" priority="6" operator="equal">
      <x:formula>"COMPLETO"</x:formula>
    </x:cfRule>
  </x:conditionalFormatting>
  <x:dataValidations count="2">
    <x:dataValidation type="list" sqref="J5:J20">
      <x:formula1>"COMPLETO,PENDIENTE"</x:formula1>
    </x:dataValidation>
    <x:dataValidation type="list" sqref="U5:U8">
      <x:formula1>"COMPLETO,PENDIENTE,REVISAR"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0219b7c820374b8d"/>
    <x:tablePart xmlns:r="http://schemas.openxmlformats.org/officeDocument/2006/relationships" r:id="R1d80b26c170342c8"/>
  </x:tableParts>
</x:worksheet>
</file>